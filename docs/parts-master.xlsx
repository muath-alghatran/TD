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دليل الاستخدام" sheetId="1" state="visible" r:id="rId3"/>
    <sheet name="01_الإعدادات" sheetId="2" state="visible" r:id="rId4"/>
    <sheet name="02_كتالوج القطع" sheetId="3" state="visible" r:id="rId5"/>
    <sheet name="03_المناديب" sheetId="4" state="visible" r:id="rId6"/>
    <sheet name="04_التسعير والمخزون" sheetId="5" state="visible" r:id="rId7"/>
    <sheet name="05_مدن التوصيل" sheetId="6" state="visible" r:id="rId8"/>
    <sheet name="06_حاسبة التوفر" sheetId="7" state="visible" r:id="rId9"/>
    <sheet name="07_سجل الطلبات" sheetId="8" state="visible" r:id="rId10"/>
    <sheet name="08_الطلب المفقود" sheetId="9" state="visible" r:id="rId11"/>
    <sheet name="09_لوحة التحليلات" sheetId="10" state="visible" r:id="rId12"/>
    <sheet name="10_أجور التركيب" sheetId="11" state="visible" r:id="rId13"/>
    <sheet name="11_خريطة الرسم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<sst xmlns="http://schemas.openxmlformats.org/spreadsheetml/2006/main" count="622" uniqueCount="368">
  <si>
    <t xml:space="preserve">Trust Drive (TD) — ملف تشغيل قطع الغيار</t>
  </si>
  <si>
    <t xml:space="preserve">الغرض</t>
  </si>
  <si>
    <t xml:space="preserve">هذا الملف هو (مصدر الحقيقة الوحيد) لبيانات القطع والأسعار والتوفر. الموقع يقرأ منه ولا يخزّن أسعاراً بشكل مستقل.</t>
  </si>
  <si>
    <t xml:space="preserve">كيف يعمل</t>
  </si>
  <si>
    <t xml:space="preserve">ترفع الملف على Google Sheets أو OneDrive → المبرمج يربطه بالموقع عبر مزامنة كل 15 دقيقة أو زر (تحديث الآن).</t>
  </si>
  <si>
    <t xml:space="preserve">الخلايا الصفراء</t>
  </si>
  <si>
    <t xml:space="preserve">خلايا إدخال يدوي — أنت أو موظف المشتريات يعبّئها.</t>
  </si>
  <si>
    <t xml:space="preserve">الخلايا البيضاء</t>
  </si>
  <si>
    <t xml:space="preserve">معادلات محسوبة تلقائياً — لا تعدّلها.</t>
  </si>
  <si>
    <t xml:space="preserve">ترتيب العمل اليومي</t>
  </si>
  <si>
    <t xml:space="preserve">1) حدّث ورقة 04 (التسعير والمخزون) من المناديب صباحاً.</t>
  </si>
  <si>
    <t xml:space="preserve">2) راجع ورقة 08 (الطلب المفقود) — كل بحث فشل هو فرصة بيع ضائعة.</t>
  </si>
  <si>
    <t xml:space="preserve">3) راجع ورقة 09 (لوحة التحليلات) أسبوعياً.</t>
  </si>
  <si>
    <t xml:space="preserve">الأوراق</t>
  </si>
  <si>
    <t xml:space="preserve">01 الإعدادات · 02 كتالوج القطع · 03 المناديب · 04 التسعير والمخزون · 05 مدن التوصيل</t>
  </si>
  <si>
    <t xml:space="preserve">06 حاسبة التوفر (المحرك) · 07 سجل الطلبات · 08 الطلب المفقود · 09 لوحة التحليلات</t>
  </si>
  <si>
    <t xml:space="preserve">ملاحظة مهمة</t>
  </si>
  <si>
    <t xml:space="preserve">البيانات الموجودة حالياً هي أمثلة توضيحية للصيغة المطلوبة فقط — استبدلها ببياناتك.</t>
  </si>
  <si>
    <t xml:space="preserve">الإعدادات العامة للمنصة</t>
  </si>
  <si>
    <t xml:space="preserve">المتغير</t>
  </si>
  <si>
    <t xml:space="preserve">القيمة</t>
  </si>
  <si>
    <t xml:space="preserve">الوصف / الاستخدام</t>
  </si>
  <si>
    <t xml:space="preserve">نسبة ضريبة القيمة المضافة</t>
  </si>
  <si>
    <t xml:space="preserve">تُضاف على سعر البيع النهائي</t>
  </si>
  <si>
    <t xml:space="preserve">هامش الربح الافتراضي</t>
  </si>
  <si>
    <t xml:space="preserve">يُستخدم إذا لم يُحدد هامش خاص للقطعة</t>
  </si>
  <si>
    <t xml:space="preserve">أيام التجهيز داخل الرياض</t>
  </si>
  <si>
    <t xml:space="preserve">من الدفع حتى خروج الشحنة (المخزون متوفر)</t>
  </si>
  <si>
    <t xml:space="preserve">أيام التوريد من المندوب</t>
  </si>
  <si>
    <t xml:space="preserve">إذا كانت القطعة عند المندوب وليست بمستودعنا</t>
  </si>
  <si>
    <t xml:space="preserve">ساعة قطع الطلبات</t>
  </si>
  <si>
    <t xml:space="preserve">الطلب بعد هذه الساعة يُحتسب من اليوم التالي</t>
  </si>
  <si>
    <t xml:space="preserve">حد الثقة العالية</t>
  </si>
  <si>
    <t xml:space="preserve">أعلى منه = وعد مضمون (أخضر)</t>
  </si>
  <si>
    <t xml:space="preserve">حد الثقة المتوسطة</t>
  </si>
  <si>
    <t xml:space="preserve">بينهما = وعد تقديري (أصفر) · أقل = طلب خاص (رمادي)</t>
  </si>
  <si>
    <t xml:space="preserve">قيمة تعويض تأخر الوعد (ريال)</t>
  </si>
  <si>
    <t xml:space="preserve">رصيد يُمنح للعميل تلقائياً عند الإخلال بالوعد</t>
  </si>
  <si>
    <t xml:space="preserve">سعر ساعة العمل (ريال)</t>
  </si>
  <si>
    <t xml:space="preserve">أجرة اليد في المركز — أساس حساب تكلفة التركيب</t>
  </si>
  <si>
    <t xml:space="preserve">خصم التركيب عبر الموقع</t>
  </si>
  <si>
    <t xml:space="preserve">خصم على أجرة اليد لمن يشتري القطعة من الموقع ويركّبها لدينا</t>
  </si>
  <si>
    <t xml:space="preserve">الخلايا الصفراء = إدخال يدوي. غيّر القيم هنا وستتحدث كل الأوراق تلقائياً.</t>
  </si>
  <si>
    <t xml:space="preserve">كتالوج القطع — السجل الرئيسي</t>
  </si>
  <si>
    <t xml:space="preserve">كود القطعة (SKU)</t>
  </si>
  <si>
    <t xml:space="preserve">رقم القطعة الأصلي (OEM)</t>
  </si>
  <si>
    <t xml:space="preserve">اسم القطعة (عربي)</t>
  </si>
  <si>
    <t xml:space="preserve">Part Name (EN)</t>
  </si>
  <si>
    <t xml:space="preserve">الفئة</t>
  </si>
  <si>
    <t xml:space="preserve">الماركة</t>
  </si>
  <si>
    <t xml:space="preserve">الموديلات المتوافقة</t>
  </si>
  <si>
    <t xml:space="preserve">نطاق السنوات</t>
  </si>
  <si>
    <t xml:space="preserve">مستوى الجودة</t>
  </si>
  <si>
    <t xml:space="preserve">الضمان (شهر)</t>
  </si>
  <si>
    <t xml:space="preserve">قابلة للتركيب بالمركز</t>
  </si>
  <si>
    <t xml:space="preserve">الحالة</t>
  </si>
  <si>
    <t xml:space="preserve">TD-BRK-0001</t>
  </si>
  <si>
    <t xml:space="preserve">04465-33471</t>
  </si>
  <si>
    <t xml:space="preserve">فحمات فرامل أمامية</t>
  </si>
  <si>
    <t xml:space="preserve">Front Brake Pads</t>
  </si>
  <si>
    <t xml:space="preserve">فرامل</t>
  </si>
  <si>
    <t xml:space="preserve">تويوتا</t>
  </si>
  <si>
    <t xml:space="preserve">كامري</t>
  </si>
  <si>
    <t xml:space="preserve">2018-2024</t>
  </si>
  <si>
    <t xml:space="preserve">وكالة</t>
  </si>
  <si>
    <t xml:space="preserve">نعم</t>
  </si>
  <si>
    <t xml:space="preserve">نشط</t>
  </si>
  <si>
    <t xml:space="preserve">TD-BRK-0002</t>
  </si>
  <si>
    <t xml:space="preserve">AD-0451</t>
  </si>
  <si>
    <t xml:space="preserve">بديل معتمد</t>
  </si>
  <si>
    <t xml:space="preserve">TD-FLT-0010</t>
  </si>
  <si>
    <t xml:space="preserve">90915-YZZD4</t>
  </si>
  <si>
    <t xml:space="preserve">فلتر زيت</t>
  </si>
  <si>
    <t xml:space="preserve">Oil Filter</t>
  </si>
  <si>
    <t xml:space="preserve">فلاتر</t>
  </si>
  <si>
    <t xml:space="preserve">كامري / كورولا</t>
  </si>
  <si>
    <t xml:space="preserve">2015-2024</t>
  </si>
  <si>
    <t xml:space="preserve">TD-BAT-0020</t>
  </si>
  <si>
    <t xml:space="preserve">AGM-70AH</t>
  </si>
  <si>
    <t xml:space="preserve">بطارية 70 أمبير</t>
  </si>
  <si>
    <t xml:space="preserve">Battery 70AH</t>
  </si>
  <si>
    <t xml:space="preserve">كهرباء</t>
  </si>
  <si>
    <t xml:space="preserve">متعدد</t>
  </si>
  <si>
    <t xml:space="preserve">الكل</t>
  </si>
  <si>
    <t xml:space="preserve">TD-SUS-0031</t>
  </si>
  <si>
    <t xml:space="preserve">48510-0K120</t>
  </si>
  <si>
    <t xml:space="preserve">مساعد أمامي</t>
  </si>
  <si>
    <t xml:space="preserve">Front Shock Absorber</t>
  </si>
  <si>
    <t xml:space="preserve">عفشة</t>
  </si>
  <si>
    <t xml:space="preserve">هايلكس</t>
  </si>
  <si>
    <t xml:space="preserve">2016-2023</t>
  </si>
  <si>
    <t xml:space="preserve">TD-COL-0044</t>
  </si>
  <si>
    <t xml:space="preserve">16400-0P260</t>
  </si>
  <si>
    <t xml:space="preserve">ردياتير</t>
  </si>
  <si>
    <t xml:space="preserve">Radiator</t>
  </si>
  <si>
    <t xml:space="preserve">تبريد</t>
  </si>
  <si>
    <t xml:space="preserve">لاندكروزر</t>
  </si>
  <si>
    <t xml:space="preserve">2016-2021</t>
  </si>
  <si>
    <t xml:space="preserve">TD-ELC-0055</t>
  </si>
  <si>
    <t xml:space="preserve">28100-0T030</t>
  </si>
  <si>
    <t xml:space="preserve">دينمو تشغيل (سلف)</t>
  </si>
  <si>
    <t xml:space="preserve">Starter Motor</t>
  </si>
  <si>
    <t xml:space="preserve">كورولا</t>
  </si>
  <si>
    <t xml:space="preserve">2014-2019</t>
  </si>
  <si>
    <t xml:space="preserve">تجاري</t>
  </si>
  <si>
    <t xml:space="preserve">TD-BDY-0066</t>
  </si>
  <si>
    <t xml:space="preserve">53101-06923</t>
  </si>
  <si>
    <t xml:space="preserve">صدام أمامي</t>
  </si>
  <si>
    <t xml:space="preserve">Front Bumper</t>
  </si>
  <si>
    <t xml:space="preserve">هيكل</t>
  </si>
  <si>
    <t xml:space="preserve">2021-2024</t>
  </si>
  <si>
    <t xml:space="preserve">لا</t>
  </si>
  <si>
    <t xml:space="preserve">مستوى الجودة: وكالة / بديل معتمد / تجاري / مستعمل مفحوص — هذا العمود هو أساس (بطاقة الشفافية) في الموقع.</t>
  </si>
  <si>
    <t xml:space="preserve">المناديب والموردون — الرياض</t>
  </si>
  <si>
    <t xml:space="preserve">كود المورد</t>
  </si>
  <si>
    <t xml:space="preserve">اسم المورد / المندوب</t>
  </si>
  <si>
    <t xml:space="preserve">المنطقة</t>
  </si>
  <si>
    <t xml:space="preserve">الجوال</t>
  </si>
  <si>
    <t xml:space="preserve">التخصص</t>
  </si>
  <si>
    <t xml:space="preserve">نسبة الالتزام %</t>
  </si>
  <si>
    <t xml:space="preserve">وقت التوريد (ساعة)</t>
  </si>
  <si>
    <t xml:space="preserve">شروط الدفع</t>
  </si>
  <si>
    <t xml:space="preserve">التقييم (1-5)</t>
  </si>
  <si>
    <t xml:space="preserve">SUP-01</t>
  </si>
  <si>
    <t xml:space="preserve">مؤسسة الشميسي لقطع الغيار</t>
  </si>
  <si>
    <t xml:space="preserve">الشميسي</t>
  </si>
  <si>
    <t xml:space="preserve">05xxxxxxxx</t>
  </si>
  <si>
    <t xml:space="preserve">تويوتا وكالة</t>
  </si>
  <si>
    <t xml:space="preserve">آجل 30 يوم</t>
  </si>
  <si>
    <t xml:space="preserve">SUP-02</t>
  </si>
  <si>
    <t xml:space="preserve">مندوب الغزالي - أبو محمد</t>
  </si>
  <si>
    <t xml:space="preserve">الغزالي</t>
  </si>
  <si>
    <t xml:space="preserve">كاش</t>
  </si>
  <si>
    <t xml:space="preserve">SUP-03</t>
  </si>
  <si>
    <t xml:space="preserve">شركة الصناعية للبطاريات</t>
  </si>
  <si>
    <t xml:space="preserve">الصناعية</t>
  </si>
  <si>
    <t xml:space="preserve">بطاريات وكهرباء</t>
  </si>
  <si>
    <t xml:space="preserve">آجل 15 يوم</t>
  </si>
  <si>
    <t xml:space="preserve">SUP-04</t>
  </si>
  <si>
    <t xml:space="preserve">مخزن TD الرئيسي</t>
  </si>
  <si>
    <t xml:space="preserve">المركز</t>
  </si>
  <si>
    <t xml:space="preserve">-</t>
  </si>
  <si>
    <t xml:space="preserve">مخزون داخلي</t>
  </si>
  <si>
    <t xml:space="preserve">SUP-05</t>
  </si>
  <si>
    <t xml:space="preserve">مورد الهيكل - المصانع</t>
  </si>
  <si>
    <t xml:space="preserve">المصانع</t>
  </si>
  <si>
    <t xml:space="preserve">هيكل وصدامات</t>
  </si>
  <si>
    <t xml:space="preserve">نسبة الالتزام = عدد الطلبات التي وفّرها في الوقت ÷ إجمالي طلباته. حدّثها شهرياً — هي أهم رقم في الملف.</t>
  </si>
  <si>
    <t xml:space="preserve">التسعير والمخزون — يُحدَّث يومياً</t>
  </si>
  <si>
    <t xml:space="preserve">اسم القطعة</t>
  </si>
  <si>
    <t xml:space="preserve">سعر التكلفة</t>
  </si>
  <si>
    <t xml:space="preserve">هامش الربح</t>
  </si>
  <si>
    <t xml:space="preserve">سعر البيع قبل الضريبة</t>
  </si>
  <si>
    <t xml:space="preserve">سعر البيع شامل الضريبة</t>
  </si>
  <si>
    <t xml:space="preserve">الكمية بمخزن TD</t>
  </si>
  <si>
    <t xml:space="preserve">الكمية عند المندوب</t>
  </si>
  <si>
    <t xml:space="preserve">آخر تحديث</t>
  </si>
  <si>
    <t xml:space="preserve">متاح للبيع</t>
  </si>
  <si>
    <t xml:space="preserve">2026-07-28</t>
  </si>
  <si>
    <t xml:space="preserve">سعر البيع محسوب تلقائياً = التكلفة × (1+الهامش) ثم + الضريبة. عدّل التكلفة أو الهامش فقط.</t>
  </si>
  <si>
    <t xml:space="preserve">مدن التوصيل واتفاقية مستوى الخدمة (SLA) — المركز في حائل</t>
  </si>
  <si>
    <t xml:space="preserve">المدينة</t>
  </si>
  <si>
    <t xml:space="preserve">أيام الشحن (أدنى)</t>
  </si>
  <si>
    <t xml:space="preserve">أيام الشحن (أعلى)</t>
  </si>
  <si>
    <t xml:space="preserve">تكلفة الشحن</t>
  </si>
  <si>
    <t xml:space="preserve">شركة الشحن</t>
  </si>
  <si>
    <t xml:space="preserve">توصيل بنفس اليوم</t>
  </si>
  <si>
    <t xml:space="preserve">معامل الثقة</t>
  </si>
  <si>
    <t xml:space="preserve">حائل</t>
  </si>
  <si>
    <t xml:space="preserve">الشمالية</t>
  </si>
  <si>
    <t xml:space="preserve">مندوب TD</t>
  </si>
  <si>
    <t xml:space="preserve">القصيم</t>
  </si>
  <si>
    <t xml:space="preserve">الوسطى</t>
  </si>
  <si>
    <t xml:space="preserve">سمسا</t>
  </si>
  <si>
    <t xml:space="preserve">الجوف</t>
  </si>
  <si>
    <t xml:space="preserve">أرامكس</t>
  </si>
  <si>
    <t xml:space="preserve">تبوك</t>
  </si>
  <si>
    <t xml:space="preserve">الرياض</t>
  </si>
  <si>
    <t xml:space="preserve">المدينة المنورة</t>
  </si>
  <si>
    <t xml:space="preserve">الغربية</t>
  </si>
  <si>
    <t xml:space="preserve">جدة</t>
  </si>
  <si>
    <t xml:space="preserve">مكة المكرمة</t>
  </si>
  <si>
    <t xml:space="preserve">الدمام</t>
  </si>
  <si>
    <t xml:space="preserve">الشرقية</t>
  </si>
  <si>
    <t xml:space="preserve">أبها</t>
  </si>
  <si>
    <t xml:space="preserve">الجنوبية</t>
  </si>
  <si>
    <t xml:space="preserve">جازان</t>
  </si>
  <si>
    <t xml:space="preserve">معامل الثقة = نسبة الشحنات التي وصلت في الموعد لهذه المدينة تاريخياً. ابدأ بتقدير ثم صحّحه بالبيانات الفعلية من ورقة 07.</t>
  </si>
  <si>
    <t xml:space="preserve">محرك التوفر — Availability Promise Engine</t>
  </si>
  <si>
    <t xml:space="preserve">هذه هي المعادلة التي سينفّذها المبرمج في الموقع. جرّبها هنا يدوياً أولاً.</t>
  </si>
  <si>
    <t xml:space="preserve">المدخلات</t>
  </si>
  <si>
    <t xml:space="preserve">مدينة العميل</t>
  </si>
  <si>
    <t xml:space="preserve">المخرجات المحسوبة</t>
  </si>
  <si>
    <t xml:space="preserve">من الكتالوج</t>
  </si>
  <si>
    <t xml:space="preserve">وكالة / بديل / تجاري</t>
  </si>
  <si>
    <t xml:space="preserve">يُعرض للعميل</t>
  </si>
  <si>
    <t xml:space="preserve">سعر القطعة شامل الضريبة</t>
  </si>
  <si>
    <t xml:space="preserve">من ورقة التسعير</t>
  </si>
  <si>
    <t xml:space="preserve">تكلفة الشحن للمدينة</t>
  </si>
  <si>
    <t xml:space="preserve">من جدول المدن</t>
  </si>
  <si>
    <t xml:space="preserve">الإجمالي النهائي للعميل</t>
  </si>
  <si>
    <t xml:space="preserve">السعر الذي يُعرض في الموقع</t>
  </si>
  <si>
    <t xml:space="preserve">متوفر فوراً</t>
  </si>
  <si>
    <t xml:space="preserve">يحتاج توريد</t>
  </si>
  <si>
    <t xml:space="preserve">نسبة التزام المورد</t>
  </si>
  <si>
    <t xml:space="preserve">العامل الأهم في الثقة</t>
  </si>
  <si>
    <t xml:space="preserve">معامل ثقة المدينة</t>
  </si>
  <si>
    <t xml:space="preserve">أداء الشحن التاريخي</t>
  </si>
  <si>
    <t xml:space="preserve">أيام التجهيز</t>
  </si>
  <si>
    <t xml:space="preserve">0 مخزون داخلي · +1 من المندوب · 5 طلب خاص</t>
  </si>
  <si>
    <t xml:space="preserve">أيام الشحن (أعلى تقدير)</t>
  </si>
  <si>
    <t xml:space="preserve">إجمالي أيام التسليم المتوقع</t>
  </si>
  <si>
    <t xml:space="preserve">الوعد المعروض للعميل</t>
  </si>
  <si>
    <t xml:space="preserve">نسبة الثقة في الوعد</t>
  </si>
  <si>
    <t xml:space="preserve">المخزون الداخلي = ثقة شبه مؤكدة</t>
  </si>
  <si>
    <t xml:space="preserve">الرسالة المعروضة للعميل</t>
  </si>
  <si>
    <t xml:space="preserve">النص التلقائي</t>
  </si>
  <si>
    <t xml:space="preserve">منطق الألوان في الموقع: ثقة ≥85% = أخضر (وعد مضمون) · 65-85% = أصفر (وعد تقديري) · &lt;65% = رمادي (طلب خاص، لا نسحب المبلغ إلا بعد التأكيد).</t>
  </si>
  <si>
    <t xml:space="preserve">سجل الطلبات — يُصدَّر من الموقع تلقائياً</t>
  </si>
  <si>
    <t xml:space="preserve">رقم الطلب</t>
  </si>
  <si>
    <t xml:space="preserve">التاريخ</t>
  </si>
  <si>
    <t xml:space="preserve">كود القطعة</t>
  </si>
  <si>
    <t xml:space="preserve">الكمية</t>
  </si>
  <si>
    <t xml:space="preserve">سعر البيع للوحدة</t>
  </si>
  <si>
    <t xml:space="preserve">التكلفة للوحدة</t>
  </si>
  <si>
    <t xml:space="preserve">إجمالي البيع</t>
  </si>
  <si>
    <t xml:space="preserve">إجمالي الربح</t>
  </si>
  <si>
    <t xml:space="preserve">الوعد (يوم)</t>
  </si>
  <si>
    <t xml:space="preserve">التسليم الفعلي (يوم)</t>
  </si>
  <si>
    <t xml:space="preserve">التزمنا بالوعد؟</t>
  </si>
  <si>
    <t xml:space="preserve">حالة الطلب</t>
  </si>
  <si>
    <t xml:space="preserve">قناة الطلب</t>
  </si>
  <si>
    <t xml:space="preserve">TD-1001</t>
  </si>
  <si>
    <t xml:space="preserve">2026-07-01</t>
  </si>
  <si>
    <t xml:space="preserve">مكتمل</t>
  </si>
  <si>
    <t xml:space="preserve">موقع</t>
  </si>
  <si>
    <t xml:space="preserve">TD-1002</t>
  </si>
  <si>
    <t xml:space="preserve">2026-07-02</t>
  </si>
  <si>
    <t xml:space="preserve">TD-1003</t>
  </si>
  <si>
    <t xml:space="preserve">2026-07-04</t>
  </si>
  <si>
    <t xml:space="preserve">تطبيق</t>
  </si>
  <si>
    <t xml:space="preserve">TD-1004</t>
  </si>
  <si>
    <t xml:space="preserve">2026-07-06</t>
  </si>
  <si>
    <t xml:space="preserve">TD-1005</t>
  </si>
  <si>
    <t xml:space="preserve">2026-07-09</t>
  </si>
  <si>
    <t xml:space="preserve">واتساب</t>
  </si>
  <si>
    <t xml:space="preserve">TD-1006</t>
  </si>
  <si>
    <t xml:space="preserve">2026-07-12</t>
  </si>
  <si>
    <t xml:space="preserve">TD-1007</t>
  </si>
  <si>
    <t xml:space="preserve">2026-07-15</t>
  </si>
  <si>
    <t xml:space="preserve">TD-1008</t>
  </si>
  <si>
    <t xml:space="preserve">2026-07-18</t>
  </si>
  <si>
    <t xml:space="preserve">TD-1009</t>
  </si>
  <si>
    <t xml:space="preserve">2026-07-20</t>
  </si>
  <si>
    <t xml:space="preserve">مركز</t>
  </si>
  <si>
    <t xml:space="preserve">TD-1010</t>
  </si>
  <si>
    <t xml:space="preserve">2026-07-24</t>
  </si>
  <si>
    <t xml:space="preserve">سجل الطلب المفقود — كل بحث لم يجد نتيجة (كنز البيانات)</t>
  </si>
  <si>
    <t xml:space="preserve">هذه الورقة هي التي ستحدد لك بعد سنتين أي قطعة تصنّعها. لا تهملها.</t>
  </si>
  <si>
    <t xml:space="preserve">نص البحث كما كتبه العميل</t>
  </si>
  <si>
    <t xml:space="preserve">رقم OEM (إن وُجد)</t>
  </si>
  <si>
    <t xml:space="preserve">الموديل</t>
  </si>
  <si>
    <t xml:space="preserve">السنة</t>
  </si>
  <si>
    <t xml:space="preserve">عدد مرات البحث</t>
  </si>
  <si>
    <t xml:space="preserve">سبب عدم التوفر</t>
  </si>
  <si>
    <t xml:space="preserve">هل وفّرناها لاحقاً؟</t>
  </si>
  <si>
    <t xml:space="preserve">الطلب المقدّر شهرياً</t>
  </si>
  <si>
    <t xml:space="preserve">2026-07-03</t>
  </si>
  <si>
    <t xml:space="preserve">مساعد خلفي هايلكس 2019</t>
  </si>
  <si>
    <t xml:space="preserve">48531-0K600</t>
  </si>
  <si>
    <t xml:space="preserve">غير متوفر بالسوق</t>
  </si>
  <si>
    <t xml:space="preserve">2026-07-05</t>
  </si>
  <si>
    <t xml:space="preserve">كمبروسر مكيف لاندكروزر</t>
  </si>
  <si>
    <t xml:space="preserve">88320-60800</t>
  </si>
  <si>
    <t xml:space="preserve">سعر مرتفع جداً</t>
  </si>
  <si>
    <t xml:space="preserve">2026-07-08</t>
  </si>
  <si>
    <t xml:space="preserve">فحمات خلفية كامري 2022</t>
  </si>
  <si>
    <t xml:space="preserve">04466-33210</t>
  </si>
  <si>
    <t xml:space="preserve">غير مدرج بالكتالوج</t>
  </si>
  <si>
    <t xml:space="preserve">2026-07-11</t>
  </si>
  <si>
    <t xml:space="preserve">طرمبة بنزين النترا</t>
  </si>
  <si>
    <t xml:space="preserve">31111-2H000</t>
  </si>
  <si>
    <t xml:space="preserve">هيونداي</t>
  </si>
  <si>
    <t xml:space="preserve">النترا</t>
  </si>
  <si>
    <t xml:space="preserve">ماركة غير مغطاة</t>
  </si>
  <si>
    <t xml:space="preserve">2026-07-14</t>
  </si>
  <si>
    <t xml:space="preserve">دعامية مقص سوناتا</t>
  </si>
  <si>
    <t xml:space="preserve">54551-3S000</t>
  </si>
  <si>
    <t xml:space="preserve">سوناتا</t>
  </si>
  <si>
    <t xml:space="preserve">2026-07-17</t>
  </si>
  <si>
    <t xml:space="preserve">رديتر مكيف اكورد</t>
  </si>
  <si>
    <t xml:space="preserve">80100-T2F-A01</t>
  </si>
  <si>
    <t xml:space="preserve">هوندا</t>
  </si>
  <si>
    <t xml:space="preserve">أكورد</t>
  </si>
  <si>
    <t xml:space="preserve">2026-07-21</t>
  </si>
  <si>
    <t xml:space="preserve">مساعد امامي هايلكس</t>
  </si>
  <si>
    <t xml:space="preserve">48510-0K680</t>
  </si>
  <si>
    <t xml:space="preserve">نفاد المخزون</t>
  </si>
  <si>
    <t xml:space="preserve">2026-07-25</t>
  </si>
  <si>
    <t xml:space="preserve">فحمات فرامل هايلكس</t>
  </si>
  <si>
    <t xml:space="preserve">04465-0K420</t>
  </si>
  <si>
    <t xml:space="preserve">المبرمج يسجّل هنا تلقائياً: كل بحث انتهى بـ (لا توجد نتائج) أو (غير متوفر) + كل ضغطة على زر (أبلغني عند التوفر).</t>
  </si>
  <si>
    <t xml:space="preserve">لوحة التحليلات — قرارات الشراء والتصنيع</t>
  </si>
  <si>
    <t xml:space="preserve">أولاً: مؤشرات الأداء العامة</t>
  </si>
  <si>
    <t xml:space="preserve">إجمالي المبيعات (ريال)</t>
  </si>
  <si>
    <t xml:space="preserve">إجمالي الربح (ريال)</t>
  </si>
  <si>
    <t xml:space="preserve">عدد الطلبات</t>
  </si>
  <si>
    <t xml:space="preserve">متوسط قيمة الطلب</t>
  </si>
  <si>
    <t xml:space="preserve">نسبة الالتزام بالوعد</t>
  </si>
  <si>
    <t xml:space="preserve">نسبة الربح من المبيعات</t>
  </si>
  <si>
    <t xml:space="preserve">ثانياً: أداء القطع + درجة أولوية التصنيع</t>
  </si>
  <si>
    <t xml:space="preserve">الكمية المباعة</t>
  </si>
  <si>
    <t xml:space="preserve">إجمالي المبيعات</t>
  </si>
  <si>
    <t xml:space="preserve">الطلب المفقود شهرياً</t>
  </si>
  <si>
    <t xml:space="preserve">درجة أولوية التصنيع</t>
  </si>
  <si>
    <t xml:space="preserve">درجة أولوية التصنيع = (الكمية المباعة×0.4) + (الطلب المفقود×0.4) + (نسبة الربح×100×0.2). الأعلى درجة = أول ما تصنّعه.</t>
  </si>
  <si>
    <t xml:space="preserve">ثالثاً: المبيعات حسب المدينة</t>
  </si>
  <si>
    <t xml:space="preserve">الخرج</t>
  </si>
  <si>
    <t xml:space="preserve">رابعاً: أعلى فرص التصنيع من الطلب المفقود (قطع لا نبيعها اليوم)</t>
  </si>
  <si>
    <t xml:space="preserve">رقم OEM</t>
  </si>
  <si>
    <t xml:space="preserve">الوصف</t>
  </si>
  <si>
    <t xml:space="preserve">الماركة / الموديل</t>
  </si>
  <si>
    <t xml:space="preserve">إجمالي مرات البحث</t>
  </si>
  <si>
    <t xml:space="preserve">درجة الفرصة</t>
  </si>
  <si>
    <t xml:space="preserve">تويوتا كامري 2022</t>
  </si>
  <si>
    <t xml:space="preserve">تويوتا هايلكس 2020</t>
  </si>
  <si>
    <t xml:space="preserve">تويوتا هايلكس 2021</t>
  </si>
  <si>
    <t xml:space="preserve">تويوتا هايلكس 2019</t>
  </si>
  <si>
    <t xml:space="preserve">هيونداي النترا 2020</t>
  </si>
  <si>
    <t xml:space="preserve">تويوتا لاندكروزر 2018</t>
  </si>
  <si>
    <t xml:space="preserve">هيونداي سوناتا 2019</t>
  </si>
  <si>
    <t xml:space="preserve">هوندا أكورد 2021</t>
  </si>
  <si>
    <t xml:space="preserve">درجة الفرصة = الطلب السنوي المقدّر (شهري×12) بوزن 70% + كثافة البحث بوزن 30%. راكم هذه الورقة سنتين ثم اطلب التصنيع من الصين بأعلى 20 رقم.</t>
  </si>
  <si>
    <t xml:space="preserve">أجور التركيب في المركز — أساس خصم الـ 10%</t>
  </si>
  <si>
    <t xml:space="preserve">ساعات العمل المعيارية</t>
  </si>
  <si>
    <t xml:space="preserve">سعر الساعة</t>
  </si>
  <si>
    <t xml:space="preserve">أجرة التركيب قبل الخصم</t>
  </si>
  <si>
    <t xml:space="preserve">قيمة الخصم</t>
  </si>
  <si>
    <t xml:space="preserve">أجرة التركيب بعد الخصم</t>
  </si>
  <si>
    <t xml:space="preserve">إجمالي (قطعة + تركيب)</t>
  </si>
  <si>
    <t xml:space="preserve">توفير العميل</t>
  </si>
  <si>
    <t xml:space="preserve">القاعدة: من يشتري القطعة من الموقع ويختار التركيب لدينا يحصل على خصم 10% من أجرة اليد. غيّر النسبة من ورقة 01 خلية B13.</t>
  </si>
  <si>
    <t xml:space="preserve">خريطة الرسم التفاعلي — ربط مناطق السيارة بالقطع</t>
  </si>
  <si>
    <t xml:space="preserve">هذه الورقة يقرأها المبرمج لرسم النقاط التفاعلية على مخطط السيارة.</t>
  </si>
  <si>
    <t xml:space="preserve">معرّف المنطقة</t>
  </si>
  <si>
    <t xml:space="preserve">اسم المنطقة (عربي)</t>
  </si>
  <si>
    <t xml:space="preserve">الطبقة/التصنيف</t>
  </si>
  <si>
    <t xml:space="preserve">إحداثي X</t>
  </si>
  <si>
    <t xml:space="preserve">إحداثي Y</t>
  </si>
  <si>
    <t xml:space="preserve">رقم الاستدعاء</t>
  </si>
  <si>
    <t xml:space="preserve">ملاحظة</t>
  </si>
  <si>
    <t xml:space="preserve">ZN-ENG</t>
  </si>
  <si>
    <t xml:space="preserve">المحرك والتبريد</t>
  </si>
  <si>
    <t xml:space="preserve">ميكانيكا</t>
  </si>
  <si>
    <t xml:space="preserve">ZN-BRF</t>
  </si>
  <si>
    <t xml:space="preserve">الفرامل والعفشة الأمامية</t>
  </si>
  <si>
    <t xml:space="preserve">عفشة وفرامل</t>
  </si>
  <si>
    <t xml:space="preserve">فحمات أمامية وكالة</t>
  </si>
  <si>
    <t xml:space="preserve">فحمات أمامية بديل</t>
  </si>
  <si>
    <t xml:space="preserve">ZN-ELC</t>
  </si>
  <si>
    <t xml:space="preserve">الكهرباء والبطارية</t>
  </si>
  <si>
    <t xml:space="preserve">بطارية</t>
  </si>
  <si>
    <t xml:space="preserve">دينمو تشغيل</t>
  </si>
  <si>
    <t xml:space="preserve">ZN-BDY</t>
  </si>
  <si>
    <t xml:space="preserve">البدي والصدامات</t>
  </si>
  <si>
    <t xml:space="preserve">بدي</t>
  </si>
  <si>
    <t xml:space="preserve">الإحداثيات نسبية لمخطط SVG بمقاس 800×320. كل منطقة قد تحتوي عدة قطع — كررها بنفس معرّف المنطقة وغيّر رقم الاستدعاء.</t>
  </si>
  <si>
    <t xml:space="preserve">الطبقات المعتمدة: بدي · ميكانيكا · كهرباء · عفشة وفرامل · استهلاكية · أداء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</si>
</sst>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"/>
    <numFmt numFmtId="167" formatCode="#,##0"/>
    <numFmt numFmtId="168" formatCode="0%"/>
    <numFmt numFmtId="169" formatCode="#,##0.00"/>
    <numFmt numFmtId="170" formatCode="@"/>
    <numFmt numFmtId="171" formatCode="#,##0.0"/>
    <numFmt numFmtId="172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5"/>
  </cols>
  <sheetData>
    <row r="1" customFormat="false" ht="16.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3"/>
      <c r="B2" s="3"/>
    </row>
    <row r="3" customFormat="false" ht="15" hidden="false" customHeight="true" outlineLevel="0" collapsed="false">
      <c r="A3" s="4" t="s">
        <v>1</v>
      </c>
      <c r="B3" s="5" t="s">
        <v>2</v>
      </c>
    </row>
    <row r="4" customFormat="false" ht="15" hidden="false" customHeight="true" outlineLevel="0" collapsed="false">
      <c r="A4" s="4" t="s">
        <v>3</v>
      </c>
      <c r="B4" s="5" t="s">
        <v>4</v>
      </c>
    </row>
    <row r="5" customFormat="false" ht="15" hidden="false" customHeight="true" outlineLevel="0" collapsed="false">
      <c r="A5" s="4"/>
      <c r="B5" s="5"/>
    </row>
    <row r="6" customFormat="false" ht="15" hidden="false" customHeight="true" outlineLevel="0" collapsed="false">
      <c r="A6" s="4" t="s">
        <v>5</v>
      </c>
      <c r="B6" s="5" t="s">
        <v>6</v>
      </c>
    </row>
    <row r="7" customFormat="false" ht="15" hidden="false" customHeight="true" outlineLevel="0" collapsed="false">
      <c r="A7" s="4" t="s">
        <v>7</v>
      </c>
      <c r="B7" s="5" t="s">
        <v>8</v>
      </c>
    </row>
    <row r="8" customFormat="false" ht="15" hidden="false" customHeight="true" outlineLevel="0" collapsed="false">
      <c r="A8" s="4"/>
      <c r="B8" s="5"/>
    </row>
    <row r="9" customFormat="false" ht="15" hidden="false" customHeight="true" outlineLevel="0" collapsed="false">
      <c r="A9" s="4" t="s">
        <v>9</v>
      </c>
      <c r="B9" s="5" t="s">
        <v>10</v>
      </c>
    </row>
    <row r="10" customFormat="false" ht="15" hidden="false" customHeight="true" outlineLevel="0" collapsed="false">
      <c r="A10" s="4"/>
      <c r="B10" s="5" t="s">
        <v>11</v>
      </c>
    </row>
    <row r="11" customFormat="false" ht="15" hidden="false" customHeight="true" outlineLevel="0" collapsed="false">
      <c r="A11" s="4"/>
      <c r="B11" s="5" t="s">
        <v>12</v>
      </c>
    </row>
    <row r="12" customFormat="false" ht="15" hidden="false" customHeight="true" outlineLevel="0" collapsed="false">
      <c r="A12" s="4"/>
      <c r="B12" s="5"/>
    </row>
    <row r="13" customFormat="false" ht="15" hidden="false" customHeight="true" outlineLevel="0" collapsed="false">
      <c r="A13" s="4" t="s">
        <v>13</v>
      </c>
      <c r="B13" s="5" t="s">
        <v>14</v>
      </c>
    </row>
    <row r="14" customFormat="false" ht="15" hidden="false" customHeight="true" outlineLevel="0" collapsed="false">
      <c r="A14" s="4"/>
      <c r="B14" s="5" t="s">
        <v>15</v>
      </c>
    </row>
    <row r="15" customFormat="false" ht="15" hidden="false" customHeight="true" outlineLevel="0" collapsed="false">
      <c r="A15" s="4"/>
      <c r="B15" s="5"/>
    </row>
    <row r="16" customFormat="false" ht="15" hidden="false" customHeight="true" outlineLevel="0" collapsed="false">
      <c r="A16" s="4" t="s">
        <v>16</v>
      </c>
      <c r="B16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18</v>
      </c>
      <c r="B1" s="3"/>
      <c r="C1" s="3"/>
    </row>
    <row r="2" customFormat="false" ht="15" hidden="false" customHeight="true" outlineLevel="0" collapsed="false">
      <c r="A2" s="3"/>
      <c r="B2" s="3"/>
      <c r="C2" s="3"/>
    </row>
    <row r="3" customFormat="false" ht="30" hidden="false" customHeight="true" outlineLevel="0" collapsed="false">
      <c r="A3" s="6" t="s">
        <v>19</v>
      </c>
      <c r="B3" s="6" t="s">
        <v>20</v>
      </c>
      <c r="C3" s="6" t="s">
        <v>21</v>
      </c>
    </row>
    <row r="4" customFormat="false" ht="15" hidden="false" customHeight="true" outlineLevel="0" collapsed="false">
      <c r="A4" s="7" t="s">
        <v>22</v>
      </c>
      <c r="B4" s="8" t="n">
        <v>0.15</v>
      </c>
      <c r="C4" s="9" t="s">
        <v>23</v>
      </c>
    </row>
    <row r="5" customFormat="false" ht="15" hidden="false" customHeight="true" outlineLevel="0" collapsed="false">
      <c r="A5" s="7" t="s">
        <v>24</v>
      </c>
      <c r="B5" s="8" t="n">
        <v>0.35</v>
      </c>
      <c r="C5" s="9" t="s">
        <v>25</v>
      </c>
    </row>
    <row r="6" customFormat="false" ht="15" hidden="false" customHeight="true" outlineLevel="0" collapsed="false">
      <c r="A6" s="7" t="s">
        <v>26</v>
      </c>
      <c r="B6" s="10" t="n">
        <v>1</v>
      </c>
      <c r="C6" s="9" t="s">
        <v>27</v>
      </c>
    </row>
    <row r="7" customFormat="false" ht="15" hidden="false" customHeight="true" outlineLevel="0" collapsed="false">
      <c r="A7" s="7" t="s">
        <v>28</v>
      </c>
      <c r="B7" s="10" t="n">
        <v>1</v>
      </c>
      <c r="C7" s="9" t="s">
        <v>29</v>
      </c>
    </row>
    <row r="8" customFormat="false" ht="15" hidden="false" customHeight="true" outlineLevel="0" collapsed="false">
      <c r="A8" s="7" t="s">
        <v>30</v>
      </c>
      <c r="B8" s="10" t="n">
        <v>14</v>
      </c>
      <c r="C8" s="9" t="s">
        <v>31</v>
      </c>
    </row>
    <row r="9" customFormat="false" ht="15" hidden="false" customHeight="true" outlineLevel="0" collapsed="false">
      <c r="A9" s="7" t="s">
        <v>32</v>
      </c>
      <c r="B9" s="8" t="n">
        <v>0.85</v>
      </c>
      <c r="C9" s="9" t="s">
        <v>33</v>
      </c>
    </row>
    <row r="10" customFormat="false" ht="15" hidden="false" customHeight="true" outlineLevel="0" collapsed="false">
      <c r="A10" s="7" t="s">
        <v>34</v>
      </c>
      <c r="B10" s="8" t="n">
        <v>0.65</v>
      </c>
      <c r="C10" s="9" t="s">
        <v>35</v>
      </c>
    </row>
    <row r="11" customFormat="false" ht="15" hidden="false" customHeight="true" outlineLevel="0" collapsed="false">
      <c r="A11" s="7" t="s">
        <v>36</v>
      </c>
      <c r="B11" s="11" t="n">
        <v>50</v>
      </c>
      <c r="C11" s="9" t="s">
        <v>37</v>
      </c>
    </row>
    <row r="12" customFormat="false" ht="15" hidden="false" customHeight="true" outlineLevel="0" collapsed="false">
      <c r="A12" s="7" t="s">
        <v>38</v>
      </c>
      <c r="B12" s="11" t="n">
        <v>120</v>
      </c>
      <c r="C12" s="9" t="s">
        <v>39</v>
      </c>
    </row>
    <row r="13" customFormat="false" ht="15" hidden="false" customHeight="true" outlineLevel="0" collapsed="false">
      <c r="A13" s="7" t="s">
        <v>40</v>
      </c>
      <c r="B13" s="12" t="n">
        <v>0.1</v>
      </c>
      <c r="C13" s="9" t="s">
        <v>41</v>
      </c>
    </row>
    <row r="14" customFormat="false" ht="15" hidden="false" customHeight="true" outlineLevel="0" collapsed="false">
      <c r="A14" s="3"/>
      <c r="B14" s="3"/>
      <c r="C14" s="3"/>
    </row>
    <row r="15" customFormat="false" ht="15" hidden="false" customHeight="true" outlineLevel="0" collapsed="false">
      <c r="A15" s="13" t="s">
        <v>42</v>
      </c>
      <c r="B15" s="3"/>
      <c r="C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12"/>
  </cols>
  <sheetData>
    <row r="1" customFormat="false" ht="17.25" hidden="false" customHeight="true" outlineLevel="0" collapsed="false">
      <c r="A1" s="2" t="s">
        <v>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54</v>
      </c>
      <c r="L3" s="6" t="s">
        <v>55</v>
      </c>
    </row>
    <row r="4" customFormat="false" ht="15" hidden="false" customHeight="true" outlineLevel="0" collapsed="false">
      <c r="A4" s="14" t="s">
        <v>56</v>
      </c>
      <c r="B4" s="14" t="s">
        <v>57</v>
      </c>
      <c r="C4" s="14" t="s">
        <v>58</v>
      </c>
      <c r="D4" s="14" t="s">
        <v>59</v>
      </c>
      <c r="E4" s="14" t="s">
        <v>60</v>
      </c>
      <c r="F4" s="14" t="s">
        <v>61</v>
      </c>
      <c r="G4" s="14" t="s">
        <v>62</v>
      </c>
      <c r="H4" s="14" t="s">
        <v>63</v>
      </c>
      <c r="I4" s="14" t="s">
        <v>64</v>
      </c>
      <c r="J4" s="14" t="n">
        <v>12</v>
      </c>
      <c r="K4" s="14" t="s">
        <v>65</v>
      </c>
      <c r="L4" s="14" t="s">
        <v>66</v>
      </c>
    </row>
    <row r="5" customFormat="false" ht="15" hidden="false" customHeight="true" outlineLevel="0" collapsed="false">
      <c r="A5" s="14" t="s">
        <v>67</v>
      </c>
      <c r="B5" s="14" t="s">
        <v>68</v>
      </c>
      <c r="C5" s="14" t="s">
        <v>58</v>
      </c>
      <c r="D5" s="14" t="s">
        <v>59</v>
      </c>
      <c r="E5" s="14" t="s">
        <v>60</v>
      </c>
      <c r="F5" s="14" t="s">
        <v>61</v>
      </c>
      <c r="G5" s="14" t="s">
        <v>62</v>
      </c>
      <c r="H5" s="14" t="s">
        <v>63</v>
      </c>
      <c r="I5" s="14" t="s">
        <v>69</v>
      </c>
      <c r="J5" s="14" t="n">
        <v>6</v>
      </c>
      <c r="K5" s="14" t="s">
        <v>65</v>
      </c>
      <c r="L5" s="14" t="s">
        <v>66</v>
      </c>
    </row>
    <row r="6" customFormat="false" ht="15" hidden="false" customHeight="true" outlineLevel="0" collapsed="false">
      <c r="A6" s="14" t="s">
        <v>70</v>
      </c>
      <c r="B6" s="14" t="s">
        <v>71</v>
      </c>
      <c r="C6" s="14" t="s">
        <v>72</v>
      </c>
      <c r="D6" s="14" t="s">
        <v>73</v>
      </c>
      <c r="E6" s="14" t="s">
        <v>74</v>
      </c>
      <c r="F6" s="14" t="s">
        <v>61</v>
      </c>
      <c r="G6" s="14" t="s">
        <v>75</v>
      </c>
      <c r="H6" s="14" t="s">
        <v>76</v>
      </c>
      <c r="I6" s="14" t="s">
        <v>64</v>
      </c>
      <c r="J6" s="14" t="n">
        <v>6</v>
      </c>
      <c r="K6" s="14" t="s">
        <v>65</v>
      </c>
      <c r="L6" s="14" t="s">
        <v>66</v>
      </c>
    </row>
    <row r="7" customFormat="false" ht="15" hidden="false" customHeight="true" outlineLevel="0" collapsed="false">
      <c r="A7" s="14" t="s">
        <v>77</v>
      </c>
      <c r="B7" s="14" t="s">
        <v>78</v>
      </c>
      <c r="C7" s="14" t="s">
        <v>79</v>
      </c>
      <c r="D7" s="14" t="s">
        <v>80</v>
      </c>
      <c r="E7" s="14" t="s">
        <v>81</v>
      </c>
      <c r="F7" s="14" t="s">
        <v>82</v>
      </c>
      <c r="G7" s="14" t="s">
        <v>82</v>
      </c>
      <c r="H7" s="14" t="s">
        <v>83</v>
      </c>
      <c r="I7" s="14" t="s">
        <v>69</v>
      </c>
      <c r="J7" s="14" t="n">
        <v>24</v>
      </c>
      <c r="K7" s="14" t="s">
        <v>65</v>
      </c>
      <c r="L7" s="14" t="s">
        <v>66</v>
      </c>
    </row>
    <row r="8" customFormat="false" ht="15" hidden="false" customHeight="true" outlineLevel="0" collapsed="false">
      <c r="A8" s="14" t="s">
        <v>84</v>
      </c>
      <c r="B8" s="14" t="s">
        <v>85</v>
      </c>
      <c r="C8" s="14" t="s">
        <v>86</v>
      </c>
      <c r="D8" s="14" t="s">
        <v>87</v>
      </c>
      <c r="E8" s="14" t="s">
        <v>88</v>
      </c>
      <c r="F8" s="14" t="s">
        <v>61</v>
      </c>
      <c r="G8" s="14" t="s">
        <v>89</v>
      </c>
      <c r="H8" s="14" t="s">
        <v>90</v>
      </c>
      <c r="I8" s="14" t="s">
        <v>64</v>
      </c>
      <c r="J8" s="14" t="n">
        <v>12</v>
      </c>
      <c r="K8" s="14" t="s">
        <v>65</v>
      </c>
      <c r="L8" s="14" t="s">
        <v>66</v>
      </c>
    </row>
    <row r="9" customFormat="false" ht="15" hidden="false" customHeight="true" outlineLevel="0" collapsed="false">
      <c r="A9" s="14" t="s">
        <v>91</v>
      </c>
      <c r="B9" s="14" t="s">
        <v>92</v>
      </c>
      <c r="C9" s="14" t="s">
        <v>93</v>
      </c>
      <c r="D9" s="14" t="s">
        <v>94</v>
      </c>
      <c r="E9" s="14" t="s">
        <v>95</v>
      </c>
      <c r="F9" s="14" t="s">
        <v>61</v>
      </c>
      <c r="G9" s="14" t="s">
        <v>96</v>
      </c>
      <c r="H9" s="14" t="s">
        <v>97</v>
      </c>
      <c r="I9" s="14" t="s">
        <v>69</v>
      </c>
      <c r="J9" s="14" t="n">
        <v>12</v>
      </c>
      <c r="K9" s="14" t="s">
        <v>65</v>
      </c>
      <c r="L9" s="14" t="s">
        <v>66</v>
      </c>
    </row>
    <row r="10" customFormat="false" ht="15" hidden="false" customHeight="true" outlineLevel="0" collapsed="false">
      <c r="A10" s="14" t="s">
        <v>98</v>
      </c>
      <c r="B10" s="14" t="s">
        <v>99</v>
      </c>
      <c r="C10" s="14" t="s">
        <v>100</v>
      </c>
      <c r="D10" s="14" t="s">
        <v>101</v>
      </c>
      <c r="E10" s="14" t="s">
        <v>81</v>
      </c>
      <c r="F10" s="14" t="s">
        <v>61</v>
      </c>
      <c r="G10" s="14" t="s">
        <v>102</v>
      </c>
      <c r="H10" s="14" t="s">
        <v>103</v>
      </c>
      <c r="I10" s="14" t="s">
        <v>104</v>
      </c>
      <c r="J10" s="14" t="n">
        <v>3</v>
      </c>
      <c r="K10" s="14" t="s">
        <v>65</v>
      </c>
      <c r="L10" s="14" t="s">
        <v>66</v>
      </c>
    </row>
    <row r="11" customFormat="false" ht="15" hidden="false" customHeight="true" outlineLevel="0" collapsed="false">
      <c r="A11" s="14" t="s">
        <v>105</v>
      </c>
      <c r="B11" s="14" t="s">
        <v>106</v>
      </c>
      <c r="C11" s="14" t="s">
        <v>107</v>
      </c>
      <c r="D11" s="14" t="s">
        <v>108</v>
      </c>
      <c r="E11" s="14" t="s">
        <v>109</v>
      </c>
      <c r="F11" s="14" t="s">
        <v>61</v>
      </c>
      <c r="G11" s="14" t="s">
        <v>62</v>
      </c>
      <c r="H11" s="14" t="s">
        <v>110</v>
      </c>
      <c r="I11" s="14" t="s">
        <v>69</v>
      </c>
      <c r="J11" s="14" t="n">
        <v>3</v>
      </c>
      <c r="K11" s="14" t="s">
        <v>111</v>
      </c>
      <c r="L11" s="14" t="s">
        <v>66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13" t="s">
        <v>112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113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6" t="s">
        <v>114</v>
      </c>
      <c r="B3" s="6" t="s">
        <v>115</v>
      </c>
      <c r="C3" s="6" t="s">
        <v>116</v>
      </c>
      <c r="D3" s="6" t="s">
        <v>117</v>
      </c>
      <c r="E3" s="6" t="s">
        <v>118</v>
      </c>
      <c r="F3" s="6" t="s">
        <v>119</v>
      </c>
      <c r="G3" s="6" t="s">
        <v>120</v>
      </c>
      <c r="H3" s="6" t="s">
        <v>121</v>
      </c>
      <c r="I3" s="6" t="s">
        <v>122</v>
      </c>
    </row>
    <row r="4" customFormat="false" ht="15" hidden="false" customHeight="true" outlineLevel="0" collapsed="false">
      <c r="A4" s="14" t="s">
        <v>123</v>
      </c>
      <c r="B4" s="14" t="s">
        <v>124</v>
      </c>
      <c r="C4" s="14" t="s">
        <v>125</v>
      </c>
      <c r="D4" s="14" t="s">
        <v>126</v>
      </c>
      <c r="E4" s="14" t="s">
        <v>127</v>
      </c>
      <c r="F4" s="15" t="n">
        <v>0.95</v>
      </c>
      <c r="G4" s="14" t="n">
        <v>4</v>
      </c>
      <c r="H4" s="14" t="s">
        <v>128</v>
      </c>
      <c r="I4" s="14" t="n">
        <v>5</v>
      </c>
    </row>
    <row r="5" customFormat="false" ht="15" hidden="false" customHeight="true" outlineLevel="0" collapsed="false">
      <c r="A5" s="14" t="s">
        <v>129</v>
      </c>
      <c r="B5" s="14" t="s">
        <v>130</v>
      </c>
      <c r="C5" s="14" t="s">
        <v>131</v>
      </c>
      <c r="D5" s="14" t="s">
        <v>126</v>
      </c>
      <c r="E5" s="14" t="s">
        <v>69</v>
      </c>
      <c r="F5" s="15" t="n">
        <v>0.88</v>
      </c>
      <c r="G5" s="14" t="n">
        <v>6</v>
      </c>
      <c r="H5" s="14" t="s">
        <v>132</v>
      </c>
      <c r="I5" s="14" t="n">
        <v>4</v>
      </c>
    </row>
    <row r="6" customFormat="false" ht="15" hidden="false" customHeight="true" outlineLevel="0" collapsed="false">
      <c r="A6" s="14" t="s">
        <v>133</v>
      </c>
      <c r="B6" s="14" t="s">
        <v>134</v>
      </c>
      <c r="C6" s="14" t="s">
        <v>135</v>
      </c>
      <c r="D6" s="14" t="s">
        <v>126</v>
      </c>
      <c r="E6" s="14" t="s">
        <v>136</v>
      </c>
      <c r="F6" s="15" t="n">
        <v>0.92</v>
      </c>
      <c r="G6" s="14" t="n">
        <v>8</v>
      </c>
      <c r="H6" s="14" t="s">
        <v>137</v>
      </c>
      <c r="I6" s="14" t="n">
        <v>4</v>
      </c>
    </row>
    <row r="7" customFormat="false" ht="15" hidden="false" customHeight="true" outlineLevel="0" collapsed="false">
      <c r="A7" s="14" t="s">
        <v>138</v>
      </c>
      <c r="B7" s="14" t="s">
        <v>139</v>
      </c>
      <c r="C7" s="14" t="s">
        <v>140</v>
      </c>
      <c r="D7" s="14" t="s">
        <v>141</v>
      </c>
      <c r="E7" s="14" t="s">
        <v>142</v>
      </c>
      <c r="F7" s="15" t="n">
        <v>1</v>
      </c>
      <c r="G7" s="14" t="n">
        <v>0</v>
      </c>
      <c r="H7" s="14" t="s">
        <v>141</v>
      </c>
      <c r="I7" s="14" t="n">
        <v>5</v>
      </c>
    </row>
    <row r="8" customFormat="false" ht="15" hidden="false" customHeight="true" outlineLevel="0" collapsed="false">
      <c r="A8" s="14" t="s">
        <v>143</v>
      </c>
      <c r="B8" s="14" t="s">
        <v>144</v>
      </c>
      <c r="C8" s="14" t="s">
        <v>145</v>
      </c>
      <c r="D8" s="14" t="s">
        <v>126</v>
      </c>
      <c r="E8" s="14" t="s">
        <v>146</v>
      </c>
      <c r="F8" s="15" t="n">
        <v>0.75</v>
      </c>
      <c r="G8" s="14" t="n">
        <v>24</v>
      </c>
      <c r="H8" s="14" t="s">
        <v>132</v>
      </c>
      <c r="I8" s="14" t="n">
        <v>3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15" hidden="false" customHeight="true" outlineLevel="0" collapsed="false">
      <c r="A10" s="13" t="s">
        <v>147</v>
      </c>
      <c r="B10" s="3"/>
      <c r="C10" s="3"/>
      <c r="D10" s="3"/>
      <c r="E10" s="3"/>
      <c r="F10" s="3"/>
      <c r="G10" s="3"/>
      <c r="H10" s="3"/>
      <c r="I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5" min="3" style="1" width="14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1" min="10" style="1" width="14"/>
  </cols>
  <sheetData>
    <row r="1" customFormat="false" ht="17.25" hidden="false" customHeight="true" outlineLevel="0" collapsed="false">
      <c r="A1" s="2" t="s">
        <v>148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0" hidden="false" customHeight="true" outlineLevel="0" collapsed="false">
      <c r="A3" s="6" t="s">
        <v>44</v>
      </c>
      <c r="B3" s="6" t="s">
        <v>149</v>
      </c>
      <c r="C3" s="6" t="s">
        <v>114</v>
      </c>
      <c r="D3" s="6" t="s">
        <v>150</v>
      </c>
      <c r="E3" s="6" t="s">
        <v>151</v>
      </c>
      <c r="F3" s="6" t="s">
        <v>152</v>
      </c>
      <c r="G3" s="6" t="s">
        <v>153</v>
      </c>
      <c r="H3" s="6" t="s">
        <v>154</v>
      </c>
      <c r="I3" s="6" t="s">
        <v>155</v>
      </c>
      <c r="J3" s="6" t="s">
        <v>156</v>
      </c>
      <c r="K3" s="6" t="s">
        <v>157</v>
      </c>
    </row>
    <row r="4" customFormat="false" ht="15" hidden="false" customHeight="true" outlineLevel="0" collapsed="false">
      <c r="A4" s="16" t="s">
        <v>56</v>
      </c>
      <c r="B4" s="17" t="str">
        <f aca="false">IFERROR(INDEX('02_كتالوج القطع'!$C$4:$C$200,MATCH($A4,'02_كتالوج القطع'!$A$4:$A$200,0)),"غير موجود")</f>
        <v>فحمات فرامل أمامية</v>
      </c>
      <c r="C4" s="16" t="s">
        <v>123</v>
      </c>
      <c r="D4" s="18" t="n">
        <v>210</v>
      </c>
      <c r="E4" s="12" t="n">
        <v>0.35</v>
      </c>
      <c r="F4" s="19" t="n">
        <f aca="false">$D4*(1+IF($E4="",01_الإعدادات!$B$5,$E4))</f>
        <v>283.5</v>
      </c>
      <c r="G4" s="19" t="n">
        <f aca="false">$F4*(1+01_الإعدادات!$B$4)</f>
        <v>326.025</v>
      </c>
      <c r="H4" s="16" t="n">
        <v>6</v>
      </c>
      <c r="I4" s="16" t="n">
        <v>12</v>
      </c>
      <c r="J4" s="16" t="s">
        <v>158</v>
      </c>
      <c r="K4" s="17" t="str">
        <f aca="false">IF(($H4+$I4)&gt;0,"نعم","لا")</f>
        <v>نعم</v>
      </c>
    </row>
    <row r="5" customFormat="false" ht="15" hidden="false" customHeight="true" outlineLevel="0" collapsed="false">
      <c r="A5" s="16" t="s">
        <v>67</v>
      </c>
      <c r="B5" s="17" t="str">
        <f aca="false">IFERROR(INDEX('02_كتالوج القطع'!$C$4:$C$200,MATCH($A5,'02_كتالوج القطع'!$A$4:$A$200,0)),"غير موجود")</f>
        <v>فحمات فرامل أمامية</v>
      </c>
      <c r="C5" s="16" t="s">
        <v>129</v>
      </c>
      <c r="D5" s="18" t="n">
        <v>120</v>
      </c>
      <c r="E5" s="12" t="n">
        <v>0.45</v>
      </c>
      <c r="F5" s="19" t="n">
        <f aca="false">$D5*(1+IF($E5="",01_الإعدادات!$B$5,$E5))</f>
        <v>174</v>
      </c>
      <c r="G5" s="19" t="n">
        <f aca="false">$F5*(1+01_الإعدادات!$B$4)</f>
        <v>200.1</v>
      </c>
      <c r="H5" s="16" t="n">
        <v>10</v>
      </c>
      <c r="I5" s="16" t="n">
        <v>25</v>
      </c>
      <c r="J5" s="16" t="s">
        <v>158</v>
      </c>
      <c r="K5" s="17" t="str">
        <f aca="false">IF(($H5+$I5)&gt;0,"نعم","لا")</f>
        <v>نعم</v>
      </c>
    </row>
    <row r="6" customFormat="false" ht="15" hidden="false" customHeight="true" outlineLevel="0" collapsed="false">
      <c r="A6" s="16" t="s">
        <v>70</v>
      </c>
      <c r="B6" s="17" t="str">
        <f aca="false">IFERROR(INDEX('02_كتالوج القطع'!$C$4:$C$200,MATCH($A6,'02_كتالوج القطع'!$A$4:$A$200,0)),"غير موجود")</f>
        <v>فلتر زيت</v>
      </c>
      <c r="C6" s="16" t="s">
        <v>123</v>
      </c>
      <c r="D6" s="18" t="n">
        <v>22</v>
      </c>
      <c r="E6" s="12" t="n">
        <v>0.6</v>
      </c>
      <c r="F6" s="19" t="n">
        <f aca="false">$D6*(1+IF($E6="",01_الإعدادات!$B$5,$E6))</f>
        <v>35.2</v>
      </c>
      <c r="G6" s="19" t="n">
        <f aca="false">$F6*(1+01_الإعدادات!$B$4)</f>
        <v>40.48</v>
      </c>
      <c r="H6" s="16" t="n">
        <v>40</v>
      </c>
      <c r="I6" s="16" t="n">
        <v>100</v>
      </c>
      <c r="J6" s="16" t="s">
        <v>158</v>
      </c>
      <c r="K6" s="17" t="str">
        <f aca="false">IF(($H6+$I6)&gt;0,"نعم","لا")</f>
        <v>نعم</v>
      </c>
    </row>
    <row r="7" customFormat="false" ht="15" hidden="false" customHeight="true" outlineLevel="0" collapsed="false">
      <c r="A7" s="16" t="s">
        <v>77</v>
      </c>
      <c r="B7" s="17" t="str">
        <f aca="false">IFERROR(INDEX('02_كتالوج القطع'!$C$4:$C$200,MATCH($A7,'02_كتالوج القطع'!$A$4:$A$200,0)),"غير موجود")</f>
        <v>بطارية 70 أمبير</v>
      </c>
      <c r="C7" s="16" t="s">
        <v>133</v>
      </c>
      <c r="D7" s="18" t="n">
        <v>285</v>
      </c>
      <c r="E7" s="12" t="n">
        <v>0.3</v>
      </c>
      <c r="F7" s="19" t="n">
        <f aca="false">$D7*(1+IF($E7="",01_الإعدادات!$B$5,$E7))</f>
        <v>370.5</v>
      </c>
      <c r="G7" s="19" t="n">
        <f aca="false">$F7*(1+01_الإعدادات!$B$4)</f>
        <v>426.075</v>
      </c>
      <c r="H7" s="16" t="n">
        <v>8</v>
      </c>
      <c r="I7" s="16" t="n">
        <v>30</v>
      </c>
      <c r="J7" s="16" t="s">
        <v>158</v>
      </c>
      <c r="K7" s="17" t="str">
        <f aca="false">IF(($H7+$I7)&gt;0,"نعم","لا")</f>
        <v>نعم</v>
      </c>
    </row>
    <row r="8" customFormat="false" ht="15" hidden="false" customHeight="true" outlineLevel="0" collapsed="false">
      <c r="A8" s="16" t="s">
        <v>84</v>
      </c>
      <c r="B8" s="17" t="str">
        <f aca="false">IFERROR(INDEX('02_كتالوج القطع'!$C$4:$C$200,MATCH($A8,'02_كتالوج القطع'!$A$4:$A$200,0)),"غير موجود")</f>
        <v>مساعد أمامي</v>
      </c>
      <c r="C8" s="16" t="s">
        <v>123</v>
      </c>
      <c r="D8" s="18" t="n">
        <v>340</v>
      </c>
      <c r="E8" s="12" t="n">
        <v>0.35</v>
      </c>
      <c r="F8" s="19" t="n">
        <f aca="false">$D8*(1+IF($E8="",01_الإعدادات!$B$5,$E8))</f>
        <v>459</v>
      </c>
      <c r="G8" s="19" t="n">
        <f aca="false">$F8*(1+01_الإعدادات!$B$4)</f>
        <v>527.85</v>
      </c>
      <c r="H8" s="16" t="n">
        <v>0</v>
      </c>
      <c r="I8" s="16" t="n">
        <v>6</v>
      </c>
      <c r="J8" s="16" t="s">
        <v>158</v>
      </c>
      <c r="K8" s="17" t="str">
        <f aca="false">IF(($H8+$I8)&gt;0,"نعم","لا")</f>
        <v>نعم</v>
      </c>
    </row>
    <row r="9" customFormat="false" ht="15" hidden="false" customHeight="true" outlineLevel="0" collapsed="false">
      <c r="A9" s="16" t="s">
        <v>91</v>
      </c>
      <c r="B9" s="17" t="str">
        <f aca="false">IFERROR(INDEX('02_كتالوج القطع'!$C$4:$C$200,MATCH($A9,'02_كتالوج القطع'!$A$4:$A$200,0)),"غير موجود")</f>
        <v>ردياتير</v>
      </c>
      <c r="C9" s="16" t="s">
        <v>129</v>
      </c>
      <c r="D9" s="18" t="n">
        <v>480</v>
      </c>
      <c r="E9" s="12" t="n">
        <v>0.32</v>
      </c>
      <c r="F9" s="19" t="n">
        <f aca="false">$D9*(1+IF($E9="",01_الإعدادات!$B$5,$E9))</f>
        <v>633.6</v>
      </c>
      <c r="G9" s="19" t="n">
        <f aca="false">$F9*(1+01_الإعدادات!$B$4)</f>
        <v>728.64</v>
      </c>
      <c r="H9" s="16" t="n">
        <v>2</v>
      </c>
      <c r="I9" s="16" t="n">
        <v>4</v>
      </c>
      <c r="J9" s="16" t="s">
        <v>158</v>
      </c>
      <c r="K9" s="17" t="str">
        <f aca="false">IF(($H9+$I9)&gt;0,"نعم","لا")</f>
        <v>نعم</v>
      </c>
    </row>
    <row r="10" customFormat="false" ht="15" hidden="false" customHeight="true" outlineLevel="0" collapsed="false">
      <c r="A10" s="16" t="s">
        <v>98</v>
      </c>
      <c r="B10" s="17" t="str">
        <f aca="false">IFERROR(INDEX('02_كتالوج القطع'!$C$4:$C$200,MATCH($A10,'02_كتالوج القطع'!$A$4:$A$200,0)),"غير موجود")</f>
        <v>دينمو تشغيل (سلف)</v>
      </c>
      <c r="C10" s="16" t="s">
        <v>129</v>
      </c>
      <c r="D10" s="18" t="n">
        <v>390</v>
      </c>
      <c r="E10" s="12" t="n">
        <v>0.4</v>
      </c>
      <c r="F10" s="19" t="n">
        <f aca="false">$D10*(1+IF($E10="",01_الإعدادات!$B$5,$E10))</f>
        <v>546</v>
      </c>
      <c r="G10" s="19" t="n">
        <f aca="false">$F10*(1+01_الإعدادات!$B$4)</f>
        <v>627.9</v>
      </c>
      <c r="H10" s="16" t="n">
        <v>0</v>
      </c>
      <c r="I10" s="16" t="n">
        <v>3</v>
      </c>
      <c r="J10" s="16" t="s">
        <v>158</v>
      </c>
      <c r="K10" s="17" t="str">
        <f aca="false">IF(($H10+$I10)&gt;0,"نعم","لا")</f>
        <v>نعم</v>
      </c>
    </row>
    <row r="11" customFormat="false" ht="15" hidden="false" customHeight="true" outlineLevel="0" collapsed="false">
      <c r="A11" s="16" t="s">
        <v>105</v>
      </c>
      <c r="B11" s="17" t="str">
        <f aca="false">IFERROR(INDEX('02_كتالوج القطع'!$C$4:$C$200,MATCH($A11,'02_كتالوج القطع'!$A$4:$A$200,0)),"غير موجود")</f>
        <v>صدام أمامي</v>
      </c>
      <c r="C11" s="16" t="s">
        <v>143</v>
      </c>
      <c r="D11" s="18" t="n">
        <v>620</v>
      </c>
      <c r="E11" s="12" t="n">
        <v>0.28</v>
      </c>
      <c r="F11" s="19" t="n">
        <f aca="false">$D11*(1+IF($E11="",01_الإعدادات!$B$5,$E11))</f>
        <v>793.6</v>
      </c>
      <c r="G11" s="19" t="n">
        <f aca="false">$F11*(1+01_الإعدادات!$B$4)</f>
        <v>912.64</v>
      </c>
      <c r="H11" s="16" t="n">
        <v>0</v>
      </c>
      <c r="I11" s="16" t="n">
        <v>1</v>
      </c>
      <c r="J11" s="16" t="s">
        <v>158</v>
      </c>
      <c r="K11" s="17" t="str">
        <f aca="false">IF(($H11+$I11)&gt;0,"نعم","لا")</f>
        <v>نعم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13" t="s">
        <v>159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8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16"/>
  </cols>
  <sheetData>
    <row r="1" customFormat="false" ht="16.5" hidden="false" customHeight="true" outlineLevel="0" collapsed="false">
      <c r="A1" s="2" t="s">
        <v>160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6" t="s">
        <v>161</v>
      </c>
      <c r="B3" s="6" t="s">
        <v>116</v>
      </c>
      <c r="C3" s="6" t="s">
        <v>162</v>
      </c>
      <c r="D3" s="6" t="s">
        <v>163</v>
      </c>
      <c r="E3" s="6" t="s">
        <v>164</v>
      </c>
      <c r="F3" s="6" t="s">
        <v>165</v>
      </c>
      <c r="G3" s="6" t="s">
        <v>166</v>
      </c>
      <c r="H3" s="6" t="s">
        <v>167</v>
      </c>
    </row>
    <row r="4" customFormat="false" ht="15" hidden="false" customHeight="true" outlineLevel="0" collapsed="false">
      <c r="A4" s="16" t="s">
        <v>168</v>
      </c>
      <c r="B4" s="16" t="s">
        <v>169</v>
      </c>
      <c r="C4" s="16" t="n">
        <v>0</v>
      </c>
      <c r="D4" s="16" t="n">
        <v>1</v>
      </c>
      <c r="E4" s="11" t="n">
        <v>0</v>
      </c>
      <c r="F4" s="16" t="s">
        <v>170</v>
      </c>
      <c r="G4" s="16" t="s">
        <v>65</v>
      </c>
      <c r="H4" s="12" t="n">
        <v>1</v>
      </c>
    </row>
    <row r="5" customFormat="false" ht="15" hidden="false" customHeight="true" outlineLevel="0" collapsed="false">
      <c r="A5" s="16" t="s">
        <v>171</v>
      </c>
      <c r="B5" s="16" t="s">
        <v>172</v>
      </c>
      <c r="C5" s="16" t="n">
        <v>1</v>
      </c>
      <c r="D5" s="16" t="n">
        <v>1</v>
      </c>
      <c r="E5" s="11" t="n">
        <v>25</v>
      </c>
      <c r="F5" s="16" t="s">
        <v>173</v>
      </c>
      <c r="G5" s="16" t="s">
        <v>111</v>
      </c>
      <c r="H5" s="12" t="n">
        <v>0.96</v>
      </c>
    </row>
    <row r="6" customFormat="false" ht="15" hidden="false" customHeight="true" outlineLevel="0" collapsed="false">
      <c r="A6" s="16" t="s">
        <v>174</v>
      </c>
      <c r="B6" s="16" t="s">
        <v>169</v>
      </c>
      <c r="C6" s="16" t="n">
        <v>1</v>
      </c>
      <c r="D6" s="16" t="n">
        <v>2</v>
      </c>
      <c r="E6" s="11" t="n">
        <v>35</v>
      </c>
      <c r="F6" s="16" t="s">
        <v>175</v>
      </c>
      <c r="G6" s="16" t="s">
        <v>111</v>
      </c>
      <c r="H6" s="12" t="n">
        <v>0.91</v>
      </c>
    </row>
    <row r="7" customFormat="false" ht="15" hidden="false" customHeight="true" outlineLevel="0" collapsed="false">
      <c r="A7" s="16" t="s">
        <v>176</v>
      </c>
      <c r="B7" s="16" t="s">
        <v>169</v>
      </c>
      <c r="C7" s="16" t="n">
        <v>1</v>
      </c>
      <c r="D7" s="16" t="n">
        <v>2</v>
      </c>
      <c r="E7" s="11" t="n">
        <v>40</v>
      </c>
      <c r="F7" s="16" t="s">
        <v>175</v>
      </c>
      <c r="G7" s="16" t="s">
        <v>111</v>
      </c>
      <c r="H7" s="12" t="n">
        <v>0.9</v>
      </c>
    </row>
    <row r="8" customFormat="false" ht="15" hidden="false" customHeight="true" outlineLevel="0" collapsed="false">
      <c r="A8" s="16" t="s">
        <v>177</v>
      </c>
      <c r="B8" s="16" t="s">
        <v>172</v>
      </c>
      <c r="C8" s="16" t="n">
        <v>1</v>
      </c>
      <c r="D8" s="16" t="n">
        <v>2</v>
      </c>
      <c r="E8" s="11" t="n">
        <v>30</v>
      </c>
      <c r="F8" s="16" t="s">
        <v>173</v>
      </c>
      <c r="G8" s="16" t="s">
        <v>111</v>
      </c>
      <c r="H8" s="12" t="n">
        <v>0.94</v>
      </c>
    </row>
    <row r="9" customFormat="false" ht="15" hidden="false" customHeight="true" outlineLevel="0" collapsed="false">
      <c r="A9" s="16" t="s">
        <v>178</v>
      </c>
      <c r="B9" s="16" t="s">
        <v>179</v>
      </c>
      <c r="C9" s="16" t="n">
        <v>1</v>
      </c>
      <c r="D9" s="16" t="n">
        <v>2</v>
      </c>
      <c r="E9" s="11" t="n">
        <v>35</v>
      </c>
      <c r="F9" s="16" t="s">
        <v>173</v>
      </c>
      <c r="G9" s="16" t="s">
        <v>111</v>
      </c>
      <c r="H9" s="12" t="n">
        <v>0.92</v>
      </c>
    </row>
    <row r="10" customFormat="false" ht="15" hidden="false" customHeight="true" outlineLevel="0" collapsed="false">
      <c r="A10" s="16" t="s">
        <v>180</v>
      </c>
      <c r="B10" s="16" t="s">
        <v>179</v>
      </c>
      <c r="C10" s="16" t="n">
        <v>2</v>
      </c>
      <c r="D10" s="16" t="n">
        <v>3</v>
      </c>
      <c r="E10" s="11" t="n">
        <v>35</v>
      </c>
      <c r="F10" s="16" t="s">
        <v>173</v>
      </c>
      <c r="G10" s="16" t="s">
        <v>111</v>
      </c>
      <c r="H10" s="12" t="n">
        <v>0.9</v>
      </c>
    </row>
    <row r="11" customFormat="false" ht="15" hidden="false" customHeight="true" outlineLevel="0" collapsed="false">
      <c r="A11" s="16" t="s">
        <v>181</v>
      </c>
      <c r="B11" s="16" t="s">
        <v>179</v>
      </c>
      <c r="C11" s="16" t="n">
        <v>2</v>
      </c>
      <c r="D11" s="16" t="n">
        <v>3</v>
      </c>
      <c r="E11" s="11" t="n">
        <v>40</v>
      </c>
      <c r="F11" s="16" t="s">
        <v>173</v>
      </c>
      <c r="G11" s="16" t="s">
        <v>111</v>
      </c>
      <c r="H11" s="12" t="n">
        <v>0.88</v>
      </c>
    </row>
    <row r="12" customFormat="false" ht="15" hidden="false" customHeight="true" outlineLevel="0" collapsed="false">
      <c r="A12" s="16" t="s">
        <v>182</v>
      </c>
      <c r="B12" s="16" t="s">
        <v>183</v>
      </c>
      <c r="C12" s="16" t="n">
        <v>2</v>
      </c>
      <c r="D12" s="16" t="n">
        <v>3</v>
      </c>
      <c r="E12" s="11" t="n">
        <v>35</v>
      </c>
      <c r="F12" s="16" t="s">
        <v>173</v>
      </c>
      <c r="G12" s="16" t="s">
        <v>111</v>
      </c>
      <c r="H12" s="12" t="n">
        <v>0.9</v>
      </c>
    </row>
    <row r="13" customFormat="false" ht="15" hidden="false" customHeight="true" outlineLevel="0" collapsed="false">
      <c r="A13" s="16" t="s">
        <v>184</v>
      </c>
      <c r="B13" s="16" t="s">
        <v>185</v>
      </c>
      <c r="C13" s="16" t="n">
        <v>3</v>
      </c>
      <c r="D13" s="16" t="n">
        <v>4</v>
      </c>
      <c r="E13" s="11" t="n">
        <v>45</v>
      </c>
      <c r="F13" s="16" t="s">
        <v>175</v>
      </c>
      <c r="G13" s="16" t="s">
        <v>111</v>
      </c>
      <c r="H13" s="12" t="n">
        <v>0.84</v>
      </c>
    </row>
    <row r="14" customFormat="false" ht="15" hidden="false" customHeight="true" outlineLevel="0" collapsed="false">
      <c r="A14" s="16" t="s">
        <v>186</v>
      </c>
      <c r="B14" s="16" t="s">
        <v>185</v>
      </c>
      <c r="C14" s="16" t="n">
        <v>3</v>
      </c>
      <c r="D14" s="16" t="n">
        <v>4</v>
      </c>
      <c r="E14" s="11" t="n">
        <v>50</v>
      </c>
      <c r="F14" s="16" t="s">
        <v>175</v>
      </c>
      <c r="G14" s="16" t="s">
        <v>111</v>
      </c>
      <c r="H14" s="12" t="n">
        <v>0.82</v>
      </c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13" t="s">
        <v>187</v>
      </c>
      <c r="B16" s="3"/>
      <c r="C16" s="3"/>
      <c r="D16" s="3"/>
      <c r="E16" s="3"/>
      <c r="F16" s="3"/>
      <c r="G16" s="3"/>
      <c r="H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58"/>
  </cols>
  <sheetData>
    <row r="1" customFormat="false" ht="16.5" hidden="false" customHeight="true" outlineLevel="0" collapsed="false">
      <c r="A1" s="2" t="s">
        <v>188</v>
      </c>
      <c r="B1" s="3"/>
      <c r="C1" s="3"/>
    </row>
    <row r="2" customFormat="false" ht="15" hidden="false" customHeight="true" outlineLevel="0" collapsed="false">
      <c r="A2" s="13" t="s">
        <v>189</v>
      </c>
      <c r="B2" s="3"/>
      <c r="C2" s="3"/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20" t="s">
        <v>190</v>
      </c>
      <c r="B4" s="3"/>
      <c r="C4" s="3"/>
    </row>
    <row r="5" customFormat="false" ht="15" hidden="false" customHeight="true" outlineLevel="0" collapsed="false">
      <c r="A5" s="7" t="s">
        <v>44</v>
      </c>
      <c r="B5" s="16" t="s">
        <v>84</v>
      </c>
      <c r="C5" s="3"/>
    </row>
    <row r="6" customFormat="false" ht="15" hidden="false" customHeight="true" outlineLevel="0" collapsed="false">
      <c r="A6" s="7" t="s">
        <v>191</v>
      </c>
      <c r="B6" s="16" t="s">
        <v>180</v>
      </c>
      <c r="C6" s="3"/>
    </row>
    <row r="7" customFormat="false" ht="15" hidden="false" customHeight="true" outlineLevel="0" collapsed="false">
      <c r="A7" s="3"/>
      <c r="B7" s="3"/>
      <c r="C7" s="3"/>
    </row>
    <row r="8" customFormat="false" ht="15" hidden="false" customHeight="true" outlineLevel="0" collapsed="false">
      <c r="A8" s="20" t="s">
        <v>192</v>
      </c>
      <c r="B8" s="3"/>
      <c r="C8" s="3"/>
    </row>
    <row r="9" customFormat="false" ht="15" hidden="false" customHeight="true" outlineLevel="0" collapsed="false">
      <c r="A9" s="3"/>
      <c r="B9" s="3"/>
      <c r="C9" s="3"/>
    </row>
    <row r="10" customFormat="false" ht="15" hidden="false" customHeight="true" outlineLevel="0" collapsed="false">
      <c r="A10" s="7" t="s">
        <v>149</v>
      </c>
      <c r="B10" s="21" t="str">
        <f aca="false">IFERROR(INDEX('02_كتالوج القطع'!$C$4:$C$200,MATCH($B$5,'02_كتالوج القطع'!$A$4:$A$200,0)),"غير موجود")</f>
        <v>مساعد أمامي</v>
      </c>
      <c r="C10" s="22" t="s">
        <v>193</v>
      </c>
    </row>
    <row r="11" customFormat="false" ht="15" hidden="false" customHeight="true" outlineLevel="0" collapsed="false">
      <c r="A11" s="7" t="s">
        <v>52</v>
      </c>
      <c r="B11" s="21" t="str">
        <f aca="false">IFERROR(INDEX('02_كتالوج القطع'!$I$4:$I$200,MATCH($B$5,'02_كتالوج القطع'!$A$4:$A$200,0)),"-")</f>
        <v>وكالة</v>
      </c>
      <c r="C11" s="22" t="s">
        <v>194</v>
      </c>
    </row>
    <row r="12" customFormat="false" ht="15" hidden="false" customHeight="true" outlineLevel="0" collapsed="false">
      <c r="A12" s="7" t="s">
        <v>53</v>
      </c>
      <c r="B12" s="23" t="n">
        <f aca="false">IFERROR(INDEX('02_كتالوج القطع'!$J$4:$J$200,MATCH($B$5,'02_كتالوج القطع'!$A$4:$A$200,0)),0)</f>
        <v>12</v>
      </c>
      <c r="C12" s="22" t="s">
        <v>195</v>
      </c>
    </row>
    <row r="13" customFormat="false" ht="15" hidden="false" customHeight="true" outlineLevel="0" collapsed="false">
      <c r="A13" s="7" t="s">
        <v>196</v>
      </c>
      <c r="B13" s="24" t="n">
        <f aca="false">IFERROR(INDEX('04_التسعير والمخزون'!$G$4:$G$200,MATCH($B$5,'04_التسعير والمخزون'!$A$4:$A$200,0)),0)</f>
        <v>527.85</v>
      </c>
      <c r="C13" s="22" t="s">
        <v>197</v>
      </c>
    </row>
    <row r="14" customFormat="false" ht="15" hidden="false" customHeight="true" outlineLevel="0" collapsed="false">
      <c r="A14" s="7" t="s">
        <v>198</v>
      </c>
      <c r="B14" s="25" t="n">
        <f aca="false">IFERROR(INDEX('05_مدن التوصيل'!$E$4:$E$100,MATCH($B$6,'05_مدن التوصيل'!$A$4:$A$100,0)),0)</f>
        <v>35</v>
      </c>
      <c r="C14" s="22" t="s">
        <v>199</v>
      </c>
    </row>
    <row r="15" customFormat="false" ht="15" hidden="false" customHeight="true" outlineLevel="0" collapsed="false">
      <c r="A15" s="7" t="s">
        <v>200</v>
      </c>
      <c r="B15" s="24" t="n">
        <f aca="false">$B$13+$B$14</f>
        <v>562.85</v>
      </c>
      <c r="C15" s="22" t="s">
        <v>201</v>
      </c>
    </row>
    <row r="16" customFormat="false" ht="15" hidden="false" customHeight="true" outlineLevel="0" collapsed="false">
      <c r="A16" s="7" t="s">
        <v>154</v>
      </c>
      <c r="B16" s="23" t="n">
        <f aca="false">IFERROR(INDEX('04_التسعير والمخزون'!$H$4:$H$200,MATCH($B$5,'04_التسعير والمخزون'!$A$4:$A$200,0)),0)</f>
        <v>0</v>
      </c>
      <c r="C16" s="22" t="s">
        <v>202</v>
      </c>
    </row>
    <row r="17" customFormat="false" ht="15" hidden="false" customHeight="true" outlineLevel="0" collapsed="false">
      <c r="A17" s="7" t="s">
        <v>155</v>
      </c>
      <c r="B17" s="23" t="n">
        <f aca="false">IFERROR(INDEX('04_التسعير والمخزون'!$I$4:$I$200,MATCH($B$5,'04_التسعير والمخزون'!$A$4:$A$200,0)),0)</f>
        <v>6</v>
      </c>
      <c r="C17" s="22" t="s">
        <v>203</v>
      </c>
    </row>
    <row r="18" customFormat="false" ht="15" hidden="false" customHeight="true" outlineLevel="0" collapsed="false">
      <c r="A18" s="7" t="s">
        <v>204</v>
      </c>
      <c r="B18" s="26" t="n">
        <f aca="false">IFERROR(INDEX(03_المناديب!$F$4:$F$100,MATCH(INDEX('04_التسعير والمخزون'!$C$4:$C$200,MATCH($B$5,'04_التسعير والمخزون'!$A$4:$A$200,0)),03_المناديب!$A$4:$A$100,0)),0)</f>
        <v>0.95</v>
      </c>
      <c r="C18" s="22" t="s">
        <v>205</v>
      </c>
    </row>
    <row r="19" customFormat="false" ht="15" hidden="false" customHeight="true" outlineLevel="0" collapsed="false">
      <c r="A19" s="7" t="s">
        <v>206</v>
      </c>
      <c r="B19" s="26" t="n">
        <f aca="false">IFERROR(INDEX('05_مدن التوصيل'!$H$4:$H$100,MATCH($B$6,'05_مدن التوصيل'!$A$4:$A$100,0)),0)</f>
        <v>0.9</v>
      </c>
      <c r="C19" s="22" t="s">
        <v>207</v>
      </c>
    </row>
    <row r="20" customFormat="false" ht="15" hidden="false" customHeight="true" outlineLevel="0" collapsed="false">
      <c r="A20" s="7" t="s">
        <v>208</v>
      </c>
      <c r="B20" s="23" t="n">
        <f aca="false">IF($B$16&gt;0,01_الإعدادات!$B$6,IF($B$17&gt;0,01_الإعدادات!$B$6+01_الإعدادات!$B$7,5))</f>
        <v>2</v>
      </c>
      <c r="C20" s="22" t="s">
        <v>209</v>
      </c>
    </row>
    <row r="21" customFormat="false" ht="15" hidden="false" customHeight="true" outlineLevel="0" collapsed="false">
      <c r="A21" s="7" t="s">
        <v>210</v>
      </c>
      <c r="B21" s="23" t="n">
        <f aca="false">IFERROR(INDEX('05_مدن التوصيل'!$D$4:$D$100,MATCH($B$6,'05_مدن التوصيل'!$A$4:$A$100,0)),7)</f>
        <v>3</v>
      </c>
      <c r="C21" s="22" t="s">
        <v>199</v>
      </c>
    </row>
    <row r="22" customFormat="false" ht="15" hidden="false" customHeight="true" outlineLevel="0" collapsed="false">
      <c r="A22" s="7" t="s">
        <v>211</v>
      </c>
      <c r="B22" s="23" t="n">
        <f aca="false">$B$20+$B$21</f>
        <v>5</v>
      </c>
      <c r="C22" s="22" t="s">
        <v>212</v>
      </c>
    </row>
    <row r="23" customFormat="false" ht="15" hidden="false" customHeight="true" outlineLevel="0" collapsed="false">
      <c r="A23" s="7" t="s">
        <v>213</v>
      </c>
      <c r="B23" s="26" t="n">
        <f aca="false">IF($B$16&gt;0,0.99*$B$19,IF($B$17&gt;0,$B$18*$B$19,0.5*$B$19))</f>
        <v>0.855</v>
      </c>
      <c r="C23" s="22" t="s">
        <v>214</v>
      </c>
    </row>
    <row r="24" customFormat="false" ht="15" hidden="false" customHeight="true" outlineLevel="0" collapsed="false">
      <c r="A24" s="3"/>
      <c r="B24" s="3"/>
      <c r="C24" s="3"/>
    </row>
    <row r="25" customFormat="false" ht="15" hidden="false" customHeight="true" outlineLevel="0" collapsed="false">
      <c r="A25" s="20" t="s">
        <v>215</v>
      </c>
      <c r="B25" s="3"/>
      <c r="C25" s="3"/>
    </row>
    <row r="26" customFormat="false" ht="15" hidden="false" customHeight="true" outlineLevel="0" collapsed="false">
      <c r="A26" s="7" t="s">
        <v>216</v>
      </c>
      <c r="B26" s="27" t="str">
        <f aca="false">IF($B$23&gt;=01_الإعدادات!$B$9,"مضمون الوصول خلال "&amp;$B$22&amp;" أيام — وإلا نعوّضك",IF($B$23&gt;=01_الإعدادات!$B$10,"متوقع الوصول خلال "&amp;$B$22&amp;" أيام بإذن الله","طلب خاص — نؤكد لك التوفر خلال 24 ساعة قبل السحب من بطاقتك"))</f>
        <v>مضمون الوصول خلال 5 أيام — وإلا نعوّضك</v>
      </c>
      <c r="C26" s="27"/>
    </row>
    <row r="27" customFormat="false" ht="15" hidden="false" customHeight="true" outlineLevel="0" collapsed="false">
      <c r="A27" s="3"/>
      <c r="B27" s="3"/>
      <c r="C27" s="3"/>
    </row>
    <row r="28" customFormat="false" ht="15" hidden="false" customHeight="true" outlineLevel="0" collapsed="false">
      <c r="A28" s="13" t="s">
        <v>217</v>
      </c>
      <c r="B28" s="3"/>
      <c r="C28" s="3"/>
    </row>
  </sheetData>
  <mergeCells count="1"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9" min="7" style="1" width="16"/>
    <col collapsed="false" customWidth="true" hidden="false" outlineLevel="0" max="10" min="10" style="1" width="14"/>
    <col collapsed="false" customWidth="true" hidden="false" outlineLevel="0" max="11" min="11" style="1" width="20"/>
    <col collapsed="false" customWidth="true" hidden="false" outlineLevel="0" max="12" min="12" style="1" width="18"/>
    <col collapsed="false" customWidth="true" hidden="false" outlineLevel="0" max="13" min="13" style="1" width="14"/>
    <col collapsed="false" customWidth="true" hidden="false" outlineLevel="0" max="14" min="14" style="1" width="16"/>
  </cols>
  <sheetData>
    <row r="1" customFormat="false" ht="17.25" hidden="false" customHeight="true" outlineLevel="0" collapsed="false">
      <c r="A1" s="2" t="s">
        <v>218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0" hidden="false" customHeight="true" outlineLevel="0" collapsed="false">
      <c r="A3" s="6" t="s">
        <v>219</v>
      </c>
      <c r="B3" s="6" t="s">
        <v>220</v>
      </c>
      <c r="C3" s="6" t="s">
        <v>221</v>
      </c>
      <c r="D3" s="6" t="s">
        <v>222</v>
      </c>
      <c r="E3" s="6" t="s">
        <v>161</v>
      </c>
      <c r="F3" s="6" t="s">
        <v>223</v>
      </c>
      <c r="G3" s="6" t="s">
        <v>224</v>
      </c>
      <c r="H3" s="6" t="s">
        <v>225</v>
      </c>
      <c r="I3" s="6" t="s">
        <v>226</v>
      </c>
      <c r="J3" s="6" t="s">
        <v>227</v>
      </c>
      <c r="K3" s="6" t="s">
        <v>228</v>
      </c>
      <c r="L3" s="6" t="s">
        <v>229</v>
      </c>
      <c r="M3" s="6" t="s">
        <v>230</v>
      </c>
      <c r="N3" s="6" t="s">
        <v>231</v>
      </c>
    </row>
    <row r="4" customFormat="false" ht="15" hidden="false" customHeight="true" outlineLevel="0" collapsed="false">
      <c r="A4" s="16" t="s">
        <v>232</v>
      </c>
      <c r="B4" s="16" t="s">
        <v>233</v>
      </c>
      <c r="C4" s="16" t="s">
        <v>56</v>
      </c>
      <c r="D4" s="16" t="n">
        <v>1</v>
      </c>
      <c r="E4" s="16" t="s">
        <v>177</v>
      </c>
      <c r="F4" s="18" t="n">
        <v>326.03</v>
      </c>
      <c r="G4" s="16" t="n">
        <v>210</v>
      </c>
      <c r="H4" s="19" t="n">
        <f aca="false">$D4*$F4</f>
        <v>326.03</v>
      </c>
      <c r="I4" s="19" t="n">
        <f aca="false">$D4*($F4/(1+01_الإعدادات!$B$4)-$G4)</f>
        <v>73.5043478260869</v>
      </c>
      <c r="J4" s="16" t="n">
        <v>1</v>
      </c>
      <c r="K4" s="16" t="n">
        <v>1</v>
      </c>
      <c r="L4" s="17" t="str">
        <f aca="false">IF($K4&lt;=$J4,"نعم","لا")</f>
        <v>نعم</v>
      </c>
      <c r="M4" s="16" t="s">
        <v>234</v>
      </c>
      <c r="N4" s="16" t="s">
        <v>235</v>
      </c>
    </row>
    <row r="5" customFormat="false" ht="15" hidden="false" customHeight="true" outlineLevel="0" collapsed="false">
      <c r="A5" s="16" t="s">
        <v>236</v>
      </c>
      <c r="B5" s="16" t="s">
        <v>237</v>
      </c>
      <c r="C5" s="16" t="s">
        <v>70</v>
      </c>
      <c r="D5" s="16" t="n">
        <v>4</v>
      </c>
      <c r="E5" s="16" t="s">
        <v>180</v>
      </c>
      <c r="F5" s="18" t="n">
        <v>40.48</v>
      </c>
      <c r="G5" s="16" t="n">
        <v>22</v>
      </c>
      <c r="H5" s="19" t="n">
        <f aca="false">$D5*$F5</f>
        <v>161.92</v>
      </c>
      <c r="I5" s="19" t="n">
        <f aca="false">$D5*($F5/(1+01_الإعدادات!$B$4)-$G5)</f>
        <v>52.8</v>
      </c>
      <c r="J5" s="16" t="n">
        <v>3</v>
      </c>
      <c r="K5" s="16" t="n">
        <v>3</v>
      </c>
      <c r="L5" s="17" t="str">
        <f aca="false">IF($K5&lt;=$J5,"نعم","لا")</f>
        <v>نعم</v>
      </c>
      <c r="M5" s="16" t="s">
        <v>234</v>
      </c>
      <c r="N5" s="16" t="s">
        <v>235</v>
      </c>
    </row>
    <row r="6" customFormat="false" ht="15" hidden="false" customHeight="true" outlineLevel="0" collapsed="false">
      <c r="A6" s="16" t="s">
        <v>238</v>
      </c>
      <c r="B6" s="16" t="s">
        <v>239</v>
      </c>
      <c r="C6" s="16" t="s">
        <v>77</v>
      </c>
      <c r="D6" s="16" t="n">
        <v>1</v>
      </c>
      <c r="E6" s="16" t="s">
        <v>182</v>
      </c>
      <c r="F6" s="18" t="n">
        <v>426.08</v>
      </c>
      <c r="G6" s="16" t="n">
        <v>285</v>
      </c>
      <c r="H6" s="19" t="n">
        <f aca="false">$D6*$F6</f>
        <v>426.08</v>
      </c>
      <c r="I6" s="19" t="n">
        <f aca="false">$D6*($F6/(1+01_الإعدادات!$B$4)-$G6)</f>
        <v>85.504347826087</v>
      </c>
      <c r="J6" s="16" t="n">
        <v>3</v>
      </c>
      <c r="K6" s="16" t="n">
        <v>4</v>
      </c>
      <c r="L6" s="17" t="str">
        <f aca="false">IF($K6&lt;=$J6,"نعم","لا")</f>
        <v>لا</v>
      </c>
      <c r="M6" s="16" t="s">
        <v>234</v>
      </c>
      <c r="N6" s="16" t="s">
        <v>240</v>
      </c>
    </row>
    <row r="7" customFormat="false" ht="15" hidden="false" customHeight="true" outlineLevel="0" collapsed="false">
      <c r="A7" s="16" t="s">
        <v>241</v>
      </c>
      <c r="B7" s="16" t="s">
        <v>242</v>
      </c>
      <c r="C7" s="16" t="s">
        <v>84</v>
      </c>
      <c r="D7" s="16" t="n">
        <v>2</v>
      </c>
      <c r="E7" s="16" t="s">
        <v>184</v>
      </c>
      <c r="F7" s="18" t="n">
        <v>527.85</v>
      </c>
      <c r="G7" s="16" t="n">
        <v>340</v>
      </c>
      <c r="H7" s="19" t="n">
        <f aca="false">$D7*$F7</f>
        <v>1055.7</v>
      </c>
      <c r="I7" s="19" t="n">
        <f aca="false">$D7*($F7/(1+01_الإعدادات!$B$4)-$G7)</f>
        <v>238</v>
      </c>
      <c r="J7" s="16" t="n">
        <v>5</v>
      </c>
      <c r="K7" s="16" t="n">
        <v>6</v>
      </c>
      <c r="L7" s="17" t="str">
        <f aca="false">IF($K7&lt;=$J7,"نعم","لا")</f>
        <v>لا</v>
      </c>
      <c r="M7" s="16" t="s">
        <v>234</v>
      </c>
      <c r="N7" s="16" t="s">
        <v>235</v>
      </c>
    </row>
    <row r="8" customFormat="false" ht="15" hidden="false" customHeight="true" outlineLevel="0" collapsed="false">
      <c r="A8" s="16" t="s">
        <v>243</v>
      </c>
      <c r="B8" s="16" t="s">
        <v>244</v>
      </c>
      <c r="C8" s="16" t="s">
        <v>91</v>
      </c>
      <c r="D8" s="16" t="n">
        <v>1</v>
      </c>
      <c r="E8" s="16" t="s">
        <v>177</v>
      </c>
      <c r="F8" s="18" t="n">
        <v>728.64</v>
      </c>
      <c r="G8" s="16" t="n">
        <v>480</v>
      </c>
      <c r="H8" s="19" t="n">
        <f aca="false">$D8*$F8</f>
        <v>728.64</v>
      </c>
      <c r="I8" s="19" t="n">
        <f aca="false">$D8*($F8/(1+01_الإعدادات!$B$4)-$G8)</f>
        <v>153.6</v>
      </c>
      <c r="J8" s="16" t="n">
        <v>2</v>
      </c>
      <c r="K8" s="16" t="n">
        <v>2</v>
      </c>
      <c r="L8" s="17" t="str">
        <f aca="false">IF($K8&lt;=$J8,"نعم","لا")</f>
        <v>نعم</v>
      </c>
      <c r="M8" s="16" t="s">
        <v>234</v>
      </c>
      <c r="N8" s="16" t="s">
        <v>245</v>
      </c>
    </row>
    <row r="9" customFormat="false" ht="15" hidden="false" customHeight="true" outlineLevel="0" collapsed="false">
      <c r="A9" s="16" t="s">
        <v>246</v>
      </c>
      <c r="B9" s="16" t="s">
        <v>247</v>
      </c>
      <c r="C9" s="16" t="s">
        <v>67</v>
      </c>
      <c r="D9" s="16" t="n">
        <v>3</v>
      </c>
      <c r="E9" s="16" t="s">
        <v>171</v>
      </c>
      <c r="F9" s="18" t="n">
        <v>200.1</v>
      </c>
      <c r="G9" s="16" t="n">
        <v>120</v>
      </c>
      <c r="H9" s="19" t="n">
        <f aca="false">$D9*$F9</f>
        <v>600.3</v>
      </c>
      <c r="I9" s="19" t="n">
        <f aca="false">$D9*($F9/(1+01_الإعدادات!$B$4)-$G9)</f>
        <v>162</v>
      </c>
      <c r="J9" s="16" t="n">
        <v>3</v>
      </c>
      <c r="K9" s="16" t="n">
        <v>3</v>
      </c>
      <c r="L9" s="17" t="str">
        <f aca="false">IF($K9&lt;=$J9,"نعم","لا")</f>
        <v>نعم</v>
      </c>
      <c r="M9" s="16" t="s">
        <v>234</v>
      </c>
      <c r="N9" s="16" t="s">
        <v>235</v>
      </c>
    </row>
    <row r="10" customFormat="false" ht="15" hidden="false" customHeight="true" outlineLevel="0" collapsed="false">
      <c r="A10" s="16" t="s">
        <v>248</v>
      </c>
      <c r="B10" s="16" t="s">
        <v>249</v>
      </c>
      <c r="C10" s="16" t="s">
        <v>98</v>
      </c>
      <c r="D10" s="16" t="n">
        <v>1</v>
      </c>
      <c r="E10" s="16" t="s">
        <v>180</v>
      </c>
      <c r="F10" s="18" t="n">
        <v>627.9</v>
      </c>
      <c r="G10" s="16" t="n">
        <v>390</v>
      </c>
      <c r="H10" s="19" t="n">
        <f aca="false">$D10*$F10</f>
        <v>627.9</v>
      </c>
      <c r="I10" s="19" t="n">
        <f aca="false">$D10*($F10/(1+01_الإعدادات!$B$4)-$G10)</f>
        <v>156</v>
      </c>
      <c r="J10" s="16" t="n">
        <v>4</v>
      </c>
      <c r="K10" s="16" t="n">
        <v>7</v>
      </c>
      <c r="L10" s="17" t="str">
        <f aca="false">IF($K10&lt;=$J10,"نعم","لا")</f>
        <v>لا</v>
      </c>
      <c r="M10" s="16" t="s">
        <v>234</v>
      </c>
      <c r="N10" s="16" t="s">
        <v>235</v>
      </c>
    </row>
    <row r="11" customFormat="false" ht="15" hidden="false" customHeight="true" outlineLevel="0" collapsed="false">
      <c r="A11" s="16" t="s">
        <v>250</v>
      </c>
      <c r="B11" s="16" t="s">
        <v>251</v>
      </c>
      <c r="C11" s="16" t="s">
        <v>105</v>
      </c>
      <c r="D11" s="16" t="n">
        <v>1</v>
      </c>
      <c r="E11" s="16" t="s">
        <v>181</v>
      </c>
      <c r="F11" s="18" t="n">
        <v>912.13</v>
      </c>
      <c r="G11" s="16" t="n">
        <v>620</v>
      </c>
      <c r="H11" s="19" t="n">
        <f aca="false">$D11*$F11</f>
        <v>912.13</v>
      </c>
      <c r="I11" s="19" t="n">
        <f aca="false">$D11*($F11/(1+01_الإعدادات!$B$4)-$G11)</f>
        <v>173.156521739131</v>
      </c>
      <c r="J11" s="16" t="n">
        <v>6</v>
      </c>
      <c r="K11" s="16" t="n">
        <v>6</v>
      </c>
      <c r="L11" s="17" t="str">
        <f aca="false">IF($K11&lt;=$J11,"نعم","لا")</f>
        <v>نعم</v>
      </c>
      <c r="M11" s="16" t="s">
        <v>234</v>
      </c>
      <c r="N11" s="16" t="s">
        <v>240</v>
      </c>
    </row>
    <row r="12" customFormat="false" ht="15" hidden="false" customHeight="true" outlineLevel="0" collapsed="false">
      <c r="A12" s="16" t="s">
        <v>252</v>
      </c>
      <c r="B12" s="16" t="s">
        <v>253</v>
      </c>
      <c r="C12" s="16" t="s">
        <v>70</v>
      </c>
      <c r="D12" s="16" t="n">
        <v>10</v>
      </c>
      <c r="E12" s="16" t="s">
        <v>177</v>
      </c>
      <c r="F12" s="18" t="n">
        <v>40.48</v>
      </c>
      <c r="G12" s="16" t="n">
        <v>22</v>
      </c>
      <c r="H12" s="19" t="n">
        <f aca="false">$D12*$F12</f>
        <v>404.8</v>
      </c>
      <c r="I12" s="19" t="n">
        <f aca="false">$D12*($F12/(1+01_الإعدادات!$B$4)-$G12)</f>
        <v>132</v>
      </c>
      <c r="J12" s="16" t="n">
        <v>1</v>
      </c>
      <c r="K12" s="16" t="n">
        <v>1</v>
      </c>
      <c r="L12" s="17" t="str">
        <f aca="false">IF($K12&lt;=$J12,"نعم","لا")</f>
        <v>نعم</v>
      </c>
      <c r="M12" s="16" t="s">
        <v>234</v>
      </c>
      <c r="N12" s="16" t="s">
        <v>254</v>
      </c>
    </row>
    <row r="13" customFormat="false" ht="15" hidden="false" customHeight="true" outlineLevel="0" collapsed="false">
      <c r="A13" s="16" t="s">
        <v>255</v>
      </c>
      <c r="B13" s="16" t="s">
        <v>256</v>
      </c>
      <c r="C13" s="16" t="s">
        <v>56</v>
      </c>
      <c r="D13" s="16" t="n">
        <v>2</v>
      </c>
      <c r="E13" s="16" t="s">
        <v>177</v>
      </c>
      <c r="F13" s="18" t="n">
        <v>326.03</v>
      </c>
      <c r="G13" s="16" t="n">
        <v>210</v>
      </c>
      <c r="H13" s="19" t="n">
        <f aca="false">$D13*$F13</f>
        <v>652.06</v>
      </c>
      <c r="I13" s="19" t="n">
        <f aca="false">$D13*($F13/(1+01_الإعدادات!$B$4)-$G13)</f>
        <v>147.008695652174</v>
      </c>
      <c r="J13" s="16" t="n">
        <v>1</v>
      </c>
      <c r="K13" s="16" t="n">
        <v>1</v>
      </c>
      <c r="L13" s="17" t="str">
        <f aca="false">IF($K13&lt;=$J13,"نعم","لا")</f>
        <v>نعم</v>
      </c>
      <c r="M13" s="16" t="s">
        <v>234</v>
      </c>
      <c r="N13" s="16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4"/>
    <col collapsed="false" customWidth="true" hidden="false" outlineLevel="0" max="11" min="10" style="1" width="20"/>
  </cols>
  <sheetData>
    <row r="1" customFormat="false" ht="16.5" hidden="false" customHeight="true" outlineLevel="0" collapsed="false">
      <c r="A1" s="2" t="s">
        <v>257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28" t="s">
        <v>258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0" hidden="false" customHeight="true" outlineLevel="0" collapsed="false">
      <c r="A4" s="6" t="s">
        <v>220</v>
      </c>
      <c r="B4" s="6" t="s">
        <v>259</v>
      </c>
      <c r="C4" s="6" t="s">
        <v>260</v>
      </c>
      <c r="D4" s="6" t="s">
        <v>49</v>
      </c>
      <c r="E4" s="6" t="s">
        <v>261</v>
      </c>
      <c r="F4" s="6" t="s">
        <v>262</v>
      </c>
      <c r="G4" s="6" t="s">
        <v>161</v>
      </c>
      <c r="H4" s="6" t="s">
        <v>263</v>
      </c>
      <c r="I4" s="6" t="s">
        <v>264</v>
      </c>
      <c r="J4" s="6" t="s">
        <v>265</v>
      </c>
      <c r="K4" s="6" t="s">
        <v>266</v>
      </c>
    </row>
    <row r="5" customFormat="false" ht="15" hidden="false" customHeight="true" outlineLevel="0" collapsed="false">
      <c r="A5" s="14" t="s">
        <v>267</v>
      </c>
      <c r="B5" s="14" t="s">
        <v>268</v>
      </c>
      <c r="C5" s="14" t="s">
        <v>269</v>
      </c>
      <c r="D5" s="14" t="s">
        <v>61</v>
      </c>
      <c r="E5" s="14" t="s">
        <v>89</v>
      </c>
      <c r="F5" s="14" t="n">
        <v>2019</v>
      </c>
      <c r="G5" s="14" t="s">
        <v>177</v>
      </c>
      <c r="H5" s="14" t="n">
        <v>14</v>
      </c>
      <c r="I5" s="14" t="s">
        <v>270</v>
      </c>
      <c r="J5" s="14" t="s">
        <v>65</v>
      </c>
      <c r="K5" s="14" t="n">
        <v>18</v>
      </c>
    </row>
    <row r="6" customFormat="false" ht="15" hidden="false" customHeight="true" outlineLevel="0" collapsed="false">
      <c r="A6" s="14" t="s">
        <v>271</v>
      </c>
      <c r="B6" s="14" t="s">
        <v>272</v>
      </c>
      <c r="C6" s="14" t="s">
        <v>273</v>
      </c>
      <c r="D6" s="14" t="s">
        <v>61</v>
      </c>
      <c r="E6" s="14" t="s">
        <v>96</v>
      </c>
      <c r="F6" s="14" t="n">
        <v>2018</v>
      </c>
      <c r="G6" s="14" t="s">
        <v>180</v>
      </c>
      <c r="H6" s="14" t="n">
        <v>9</v>
      </c>
      <c r="I6" s="14" t="s">
        <v>274</v>
      </c>
      <c r="J6" s="14" t="s">
        <v>111</v>
      </c>
      <c r="K6" s="14" t="n">
        <v>12</v>
      </c>
    </row>
    <row r="7" customFormat="false" ht="15" hidden="false" customHeight="true" outlineLevel="0" collapsed="false">
      <c r="A7" s="14" t="s">
        <v>275</v>
      </c>
      <c r="B7" s="14" t="s">
        <v>276</v>
      </c>
      <c r="C7" s="14" t="s">
        <v>277</v>
      </c>
      <c r="D7" s="14" t="s">
        <v>61</v>
      </c>
      <c r="E7" s="14" t="s">
        <v>62</v>
      </c>
      <c r="F7" s="14" t="n">
        <v>2022</v>
      </c>
      <c r="G7" s="14" t="s">
        <v>182</v>
      </c>
      <c r="H7" s="14" t="n">
        <v>22</v>
      </c>
      <c r="I7" s="14" t="s">
        <v>278</v>
      </c>
      <c r="J7" s="14" t="s">
        <v>65</v>
      </c>
      <c r="K7" s="14" t="n">
        <v>30</v>
      </c>
    </row>
    <row r="8" customFormat="false" ht="15" hidden="false" customHeight="true" outlineLevel="0" collapsed="false">
      <c r="A8" s="14" t="s">
        <v>279</v>
      </c>
      <c r="B8" s="14" t="s">
        <v>280</v>
      </c>
      <c r="C8" s="14" t="s">
        <v>281</v>
      </c>
      <c r="D8" s="14" t="s">
        <v>282</v>
      </c>
      <c r="E8" s="14" t="s">
        <v>283</v>
      </c>
      <c r="F8" s="14" t="n">
        <v>2020</v>
      </c>
      <c r="G8" s="14" t="s">
        <v>177</v>
      </c>
      <c r="H8" s="14" t="n">
        <v>11</v>
      </c>
      <c r="I8" s="14" t="s">
        <v>284</v>
      </c>
      <c r="J8" s="14" t="s">
        <v>111</v>
      </c>
      <c r="K8" s="14" t="n">
        <v>15</v>
      </c>
    </row>
    <row r="9" customFormat="false" ht="15" hidden="false" customHeight="true" outlineLevel="0" collapsed="false">
      <c r="A9" s="14" t="s">
        <v>285</v>
      </c>
      <c r="B9" s="14" t="s">
        <v>286</v>
      </c>
      <c r="C9" s="14" t="s">
        <v>287</v>
      </c>
      <c r="D9" s="14" t="s">
        <v>282</v>
      </c>
      <c r="E9" s="14" t="s">
        <v>288</v>
      </c>
      <c r="F9" s="14" t="n">
        <v>2019</v>
      </c>
      <c r="G9" s="14" t="s">
        <v>171</v>
      </c>
      <c r="H9" s="14" t="n">
        <v>8</v>
      </c>
      <c r="I9" s="14" t="s">
        <v>284</v>
      </c>
      <c r="J9" s="14" t="s">
        <v>111</v>
      </c>
      <c r="K9" s="14" t="n">
        <v>10</v>
      </c>
    </row>
    <row r="10" customFormat="false" ht="15" hidden="false" customHeight="true" outlineLevel="0" collapsed="false">
      <c r="A10" s="14" t="s">
        <v>289</v>
      </c>
      <c r="B10" s="14" t="s">
        <v>290</v>
      </c>
      <c r="C10" s="14" t="s">
        <v>291</v>
      </c>
      <c r="D10" s="14" t="s">
        <v>292</v>
      </c>
      <c r="E10" s="14" t="s">
        <v>293</v>
      </c>
      <c r="F10" s="14" t="n">
        <v>2021</v>
      </c>
      <c r="G10" s="14" t="s">
        <v>180</v>
      </c>
      <c r="H10" s="14" t="n">
        <v>7</v>
      </c>
      <c r="I10" s="14" t="s">
        <v>284</v>
      </c>
      <c r="J10" s="14" t="s">
        <v>111</v>
      </c>
      <c r="K10" s="14" t="n">
        <v>9</v>
      </c>
    </row>
    <row r="11" customFormat="false" ht="15" hidden="false" customHeight="true" outlineLevel="0" collapsed="false">
      <c r="A11" s="14" t="s">
        <v>294</v>
      </c>
      <c r="B11" s="14" t="s">
        <v>295</v>
      </c>
      <c r="C11" s="14" t="s">
        <v>296</v>
      </c>
      <c r="D11" s="14" t="s">
        <v>61</v>
      </c>
      <c r="E11" s="14" t="s">
        <v>89</v>
      </c>
      <c r="F11" s="14" t="n">
        <v>2021</v>
      </c>
      <c r="G11" s="14" t="s">
        <v>184</v>
      </c>
      <c r="H11" s="14" t="n">
        <v>16</v>
      </c>
      <c r="I11" s="14" t="s">
        <v>297</v>
      </c>
      <c r="J11" s="14" t="s">
        <v>65</v>
      </c>
      <c r="K11" s="14" t="n">
        <v>20</v>
      </c>
    </row>
    <row r="12" customFormat="false" ht="15" hidden="false" customHeight="true" outlineLevel="0" collapsed="false">
      <c r="A12" s="14" t="s">
        <v>298</v>
      </c>
      <c r="B12" s="14" t="s">
        <v>299</v>
      </c>
      <c r="C12" s="14" t="s">
        <v>300</v>
      </c>
      <c r="D12" s="14" t="s">
        <v>61</v>
      </c>
      <c r="E12" s="14" t="s">
        <v>89</v>
      </c>
      <c r="F12" s="14" t="n">
        <v>2020</v>
      </c>
      <c r="G12" s="14" t="s">
        <v>177</v>
      </c>
      <c r="H12" s="14" t="n">
        <v>19</v>
      </c>
      <c r="I12" s="14" t="s">
        <v>297</v>
      </c>
      <c r="J12" s="14" t="s">
        <v>65</v>
      </c>
      <c r="K12" s="14" t="n">
        <v>25</v>
      </c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13" t="s">
        <v>301</v>
      </c>
      <c r="B14" s="3"/>
      <c r="C14" s="3"/>
      <c r="D14" s="3"/>
      <c r="E14" s="3"/>
      <c r="F14" s="3"/>
      <c r="G14" s="3"/>
      <c r="H14" s="3"/>
      <c r="I14" s="3"/>
      <c r="J14" s="3"/>
      <c r="K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20"/>
  </cols>
  <sheetData>
    <row r="1" customFormat="false" ht="17.25" hidden="false" customHeight="true" outlineLevel="0" collapsed="false">
      <c r="A1" s="2" t="s">
        <v>302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20" t="s">
        <v>303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7" t="s">
        <v>304</v>
      </c>
      <c r="B4" s="24" t="n">
        <f aca="false">SUM('07_سجل الطلبات'!$H$4:$H$1000)</f>
        <v>5895.56</v>
      </c>
      <c r="C4" s="3"/>
      <c r="D4" s="3"/>
      <c r="E4" s="3"/>
      <c r="F4" s="3"/>
      <c r="G4" s="3"/>
    </row>
    <row r="5" customFormat="false" ht="15" hidden="false" customHeight="true" outlineLevel="0" collapsed="false">
      <c r="A5" s="7" t="s">
        <v>305</v>
      </c>
      <c r="B5" s="24" t="n">
        <f aca="false">SUM('07_سجل الطلبات'!$I$4:$I$1000)</f>
        <v>1373.57391304348</v>
      </c>
      <c r="C5" s="3"/>
      <c r="D5" s="3"/>
      <c r="E5" s="3"/>
      <c r="F5" s="3"/>
      <c r="G5" s="3"/>
    </row>
    <row r="6" customFormat="false" ht="15" hidden="false" customHeight="true" outlineLevel="0" collapsed="false">
      <c r="A6" s="7" t="s">
        <v>306</v>
      </c>
      <c r="B6" s="25" t="n">
        <f aca="false">COUNTA('07_سجل الطلبات'!$A$4:$A$1000)</f>
        <v>10</v>
      </c>
      <c r="C6" s="3"/>
      <c r="D6" s="3"/>
      <c r="E6" s="3"/>
      <c r="F6" s="3"/>
      <c r="G6" s="3"/>
    </row>
    <row r="7" customFormat="false" ht="15" hidden="false" customHeight="true" outlineLevel="0" collapsed="false">
      <c r="A7" s="7" t="s">
        <v>307</v>
      </c>
      <c r="B7" s="24" t="n">
        <f aca="false">IFERROR($B$4/$B$6,0)</f>
        <v>589.556</v>
      </c>
      <c r="C7" s="3"/>
      <c r="D7" s="3"/>
      <c r="E7" s="3"/>
      <c r="F7" s="3"/>
      <c r="G7" s="3"/>
    </row>
    <row r="8" customFormat="false" ht="15" hidden="false" customHeight="true" outlineLevel="0" collapsed="false">
      <c r="A8" s="7" t="s">
        <v>308</v>
      </c>
      <c r="B8" s="29" t="n">
        <f aca="false">IFERROR(COUNTIF('07_سجل الطلبات'!$L$4:$L$1000,"نعم")/$B$6,0)</f>
        <v>0.7</v>
      </c>
      <c r="C8" s="3"/>
      <c r="D8" s="3"/>
      <c r="E8" s="3"/>
      <c r="F8" s="3"/>
      <c r="G8" s="3"/>
    </row>
    <row r="9" customFormat="false" ht="15" hidden="false" customHeight="true" outlineLevel="0" collapsed="false">
      <c r="A9" s="7" t="s">
        <v>309</v>
      </c>
      <c r="B9" s="29" t="n">
        <f aca="false">IFERROR($B$5/$B$4,0)</f>
        <v>0.23298446848874</v>
      </c>
      <c r="C9" s="3"/>
      <c r="D9" s="3"/>
      <c r="E9" s="3"/>
      <c r="F9" s="3"/>
      <c r="G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</row>
    <row r="12" customFormat="false" ht="15" hidden="false" customHeight="true" outlineLevel="0" collapsed="false">
      <c r="A12" s="20" t="s">
        <v>310</v>
      </c>
      <c r="B12" s="3"/>
      <c r="C12" s="3"/>
      <c r="D12" s="3"/>
      <c r="E12" s="3"/>
      <c r="F12" s="3"/>
      <c r="G12" s="3"/>
    </row>
    <row r="13" customFormat="false" ht="30" hidden="false" customHeight="true" outlineLevel="0" collapsed="false">
      <c r="A13" s="6" t="s">
        <v>221</v>
      </c>
      <c r="B13" s="6" t="s">
        <v>149</v>
      </c>
      <c r="C13" s="6" t="s">
        <v>311</v>
      </c>
      <c r="D13" s="6" t="s">
        <v>312</v>
      </c>
      <c r="E13" s="6" t="s">
        <v>226</v>
      </c>
      <c r="F13" s="6" t="s">
        <v>313</v>
      </c>
      <c r="G13" s="6" t="s">
        <v>314</v>
      </c>
    </row>
    <row r="14" customFormat="false" ht="15" hidden="false" customHeight="true" outlineLevel="0" collapsed="false">
      <c r="A14" s="30" t="s">
        <v>56</v>
      </c>
      <c r="B14" s="17" t="str">
        <f aca="false">IFERROR(INDEX('02_كتالوج القطع'!$C$4:$C$200,MATCH($A14,'02_كتالوج القطع'!$A$4:$A$200,0)),"-")</f>
        <v>فحمات فرامل أمامية</v>
      </c>
      <c r="C14" s="31" t="n">
        <f aca="false">SUMIF('07_سجل الطلبات'!$C$4:$C$1000,$A14,'07_سجل الطلبات'!$D$4:$D$1000)</f>
        <v>3</v>
      </c>
      <c r="D14" s="19" t="n">
        <f aca="false">SUMIF('07_سجل الطلبات'!$C$4:$C$1000,$A14,'07_سجل الطلبات'!$H$4:$H$1000)</f>
        <v>978.09</v>
      </c>
      <c r="E14" s="19" t="n">
        <f aca="false">SUMIF('07_سجل الطلبات'!$C$4:$C$1000,$A14,'07_سجل الطلبات'!$I$4:$I$1000)</f>
        <v>220.513043478261</v>
      </c>
      <c r="F14" s="31" t="n">
        <f aca="false">SUMIF('08_الطلب المفقود'!$C$5:$C$1000,IFERROR(INDEX('02_كتالوج القطع'!$B$4:$B$200,MATCH($A14,'02_كتالوج القطع'!$A$4:$A$200,0)),""),'08_الطلب المفقود'!$K$5:$K$1000)</f>
        <v>0</v>
      </c>
      <c r="G14" s="32" t="n">
        <f aca="false">ROUND(($C14*0.4)+($F14*0.4)+(IFERROR($E14/$D14,0)*100*0.2),1)</f>
        <v>5.7</v>
      </c>
    </row>
    <row r="15" customFormat="false" ht="15" hidden="false" customHeight="true" outlineLevel="0" collapsed="false">
      <c r="A15" s="30" t="s">
        <v>67</v>
      </c>
      <c r="B15" s="17" t="str">
        <f aca="false">IFERROR(INDEX('02_كتالوج القطع'!$C$4:$C$200,MATCH($A15,'02_كتالوج القطع'!$A$4:$A$200,0)),"-")</f>
        <v>فحمات فرامل أمامية</v>
      </c>
      <c r="C15" s="31" t="n">
        <f aca="false">SUMIF('07_سجل الطلبات'!$C$4:$C$1000,$A15,'07_سجل الطلبات'!$D$4:$D$1000)</f>
        <v>3</v>
      </c>
      <c r="D15" s="19" t="n">
        <f aca="false">SUMIF('07_سجل الطلبات'!$C$4:$C$1000,$A15,'07_سجل الطلبات'!$H$4:$H$1000)</f>
        <v>600.3</v>
      </c>
      <c r="E15" s="19" t="n">
        <f aca="false">SUMIF('07_سجل الطلبات'!$C$4:$C$1000,$A15,'07_سجل الطلبات'!$I$4:$I$1000)</f>
        <v>162</v>
      </c>
      <c r="F15" s="31" t="n">
        <f aca="false">SUMIF('08_الطلب المفقود'!$C$5:$C$1000,IFERROR(INDEX('02_كتالوج القطع'!$B$4:$B$200,MATCH($A15,'02_كتالوج القطع'!$A$4:$A$200,0)),""),'08_الطلب المفقود'!$K$5:$K$1000)</f>
        <v>0</v>
      </c>
      <c r="G15" s="32" t="n">
        <f aca="false">ROUND(($C15*0.4)+($F15*0.4)+(IFERROR($E15/$D15,0)*100*0.2),1)</f>
        <v>6.6</v>
      </c>
    </row>
    <row r="16" customFormat="false" ht="15" hidden="false" customHeight="true" outlineLevel="0" collapsed="false">
      <c r="A16" s="30" t="s">
        <v>70</v>
      </c>
      <c r="B16" s="17" t="str">
        <f aca="false">IFERROR(INDEX('02_كتالوج القطع'!$C$4:$C$200,MATCH($A16,'02_كتالوج القطع'!$A$4:$A$200,0)),"-")</f>
        <v>فلتر زيت</v>
      </c>
      <c r="C16" s="31" t="n">
        <f aca="false">SUMIF('07_سجل الطلبات'!$C$4:$C$1000,$A16,'07_سجل الطلبات'!$D$4:$D$1000)</f>
        <v>14</v>
      </c>
      <c r="D16" s="19" t="n">
        <f aca="false">SUMIF('07_سجل الطلبات'!$C$4:$C$1000,$A16,'07_سجل الطلبات'!$H$4:$H$1000)</f>
        <v>566.72</v>
      </c>
      <c r="E16" s="19" t="n">
        <f aca="false">SUMIF('07_سجل الطلبات'!$C$4:$C$1000,$A16,'07_سجل الطلبات'!$I$4:$I$1000)</f>
        <v>184.8</v>
      </c>
      <c r="F16" s="31" t="n">
        <f aca="false">SUMIF('08_الطلب المفقود'!$C$5:$C$1000,IFERROR(INDEX('02_كتالوج القطع'!$B$4:$B$200,MATCH($A16,'02_كتالوج القطع'!$A$4:$A$200,0)),""),'08_الطلب المفقود'!$K$5:$K$1000)</f>
        <v>0</v>
      </c>
      <c r="G16" s="32" t="n">
        <f aca="false">ROUND(($C16*0.4)+($F16*0.4)+(IFERROR($E16/$D16,0)*100*0.2),1)</f>
        <v>12.1</v>
      </c>
    </row>
    <row r="17" customFormat="false" ht="15" hidden="false" customHeight="true" outlineLevel="0" collapsed="false">
      <c r="A17" s="30" t="s">
        <v>77</v>
      </c>
      <c r="B17" s="17" t="str">
        <f aca="false">IFERROR(INDEX('02_كتالوج القطع'!$C$4:$C$200,MATCH($A17,'02_كتالوج القطع'!$A$4:$A$200,0)),"-")</f>
        <v>بطارية 70 أمبير</v>
      </c>
      <c r="C17" s="31" t="n">
        <f aca="false">SUMIF('07_سجل الطلبات'!$C$4:$C$1000,$A17,'07_سجل الطلبات'!$D$4:$D$1000)</f>
        <v>1</v>
      </c>
      <c r="D17" s="19" t="n">
        <f aca="false">SUMIF('07_سجل الطلبات'!$C$4:$C$1000,$A17,'07_سجل الطلبات'!$H$4:$H$1000)</f>
        <v>426.08</v>
      </c>
      <c r="E17" s="19" t="n">
        <f aca="false">SUMIF('07_سجل الطلبات'!$C$4:$C$1000,$A17,'07_سجل الطلبات'!$I$4:$I$1000)</f>
        <v>85.504347826087</v>
      </c>
      <c r="F17" s="31" t="n">
        <f aca="false">SUMIF('08_الطلب المفقود'!$C$5:$C$1000,IFERROR(INDEX('02_كتالوج القطع'!$B$4:$B$200,MATCH($A17,'02_كتالوج القطع'!$A$4:$A$200,0)),""),'08_الطلب المفقود'!$K$5:$K$1000)</f>
        <v>0</v>
      </c>
      <c r="G17" s="32" t="n">
        <f aca="false">ROUND(($C17*0.4)+($F17*0.4)+(IFERROR($E17/$D17,0)*100*0.2),1)</f>
        <v>4.4</v>
      </c>
    </row>
    <row r="18" customFormat="false" ht="15" hidden="false" customHeight="true" outlineLevel="0" collapsed="false">
      <c r="A18" s="30" t="s">
        <v>84</v>
      </c>
      <c r="B18" s="17" t="str">
        <f aca="false">IFERROR(INDEX('02_كتالوج القطع'!$C$4:$C$200,MATCH($A18,'02_كتالوج القطع'!$A$4:$A$200,0)),"-")</f>
        <v>مساعد أمامي</v>
      </c>
      <c r="C18" s="31" t="n">
        <f aca="false">SUMIF('07_سجل الطلبات'!$C$4:$C$1000,$A18,'07_سجل الطلبات'!$D$4:$D$1000)</f>
        <v>2</v>
      </c>
      <c r="D18" s="19" t="n">
        <f aca="false">SUMIF('07_سجل الطلبات'!$C$4:$C$1000,$A18,'07_سجل الطلبات'!$H$4:$H$1000)</f>
        <v>1055.7</v>
      </c>
      <c r="E18" s="19" t="n">
        <f aca="false">SUMIF('07_سجل الطلبات'!$C$4:$C$1000,$A18,'07_سجل الطلبات'!$I$4:$I$1000)</f>
        <v>238</v>
      </c>
      <c r="F18" s="31" t="n">
        <f aca="false">SUMIF('08_الطلب المفقود'!$C$5:$C$1000,IFERROR(INDEX('02_كتالوج القطع'!$B$4:$B$200,MATCH($A18,'02_كتالوج القطع'!$A$4:$A$200,0)),""),'08_الطلب المفقود'!$K$5:$K$1000)</f>
        <v>0</v>
      </c>
      <c r="G18" s="32" t="n">
        <f aca="false">ROUND(($C18*0.4)+($F18*0.4)+(IFERROR($E18/$D18,0)*100*0.2),1)</f>
        <v>5.3</v>
      </c>
    </row>
    <row r="19" customFormat="false" ht="15" hidden="false" customHeight="true" outlineLevel="0" collapsed="false">
      <c r="A19" s="30" t="s">
        <v>91</v>
      </c>
      <c r="B19" s="17" t="str">
        <f aca="false">IFERROR(INDEX('02_كتالوج القطع'!$C$4:$C$200,MATCH($A19,'02_كتالوج القطع'!$A$4:$A$200,0)),"-")</f>
        <v>ردياتير</v>
      </c>
      <c r="C19" s="31" t="n">
        <f aca="false">SUMIF('07_سجل الطلبات'!$C$4:$C$1000,$A19,'07_سجل الطلبات'!$D$4:$D$1000)</f>
        <v>1</v>
      </c>
      <c r="D19" s="19" t="n">
        <f aca="false">SUMIF('07_سجل الطلبات'!$C$4:$C$1000,$A19,'07_سجل الطلبات'!$H$4:$H$1000)</f>
        <v>728.64</v>
      </c>
      <c r="E19" s="19" t="n">
        <f aca="false">SUMIF('07_سجل الطلبات'!$C$4:$C$1000,$A19,'07_سجل الطلبات'!$I$4:$I$1000)</f>
        <v>153.6</v>
      </c>
      <c r="F19" s="31" t="n">
        <f aca="false">SUMIF('08_الطلب المفقود'!$C$5:$C$1000,IFERROR(INDEX('02_كتالوج القطع'!$B$4:$B$200,MATCH($A19,'02_كتالوج القطع'!$A$4:$A$200,0)),""),'08_الطلب المفقود'!$K$5:$K$1000)</f>
        <v>0</v>
      </c>
      <c r="G19" s="32" t="n">
        <f aca="false">ROUND(($C19*0.4)+($F19*0.4)+(IFERROR($E19/$D19,0)*100*0.2),1)</f>
        <v>4.6</v>
      </c>
    </row>
    <row r="20" customFormat="false" ht="15" hidden="false" customHeight="true" outlineLevel="0" collapsed="false">
      <c r="A20" s="30" t="s">
        <v>98</v>
      </c>
      <c r="B20" s="17" t="str">
        <f aca="false">IFERROR(INDEX('02_كتالوج القطع'!$C$4:$C$200,MATCH($A20,'02_كتالوج القطع'!$A$4:$A$200,0)),"-")</f>
        <v>دينمو تشغيل (سلف)</v>
      </c>
      <c r="C20" s="31" t="n">
        <f aca="false">SUMIF('07_سجل الطلبات'!$C$4:$C$1000,$A20,'07_سجل الطلبات'!$D$4:$D$1000)</f>
        <v>1</v>
      </c>
      <c r="D20" s="19" t="n">
        <f aca="false">SUMIF('07_سجل الطلبات'!$C$4:$C$1000,$A20,'07_سجل الطلبات'!$H$4:$H$1000)</f>
        <v>627.9</v>
      </c>
      <c r="E20" s="19" t="n">
        <f aca="false">SUMIF('07_سجل الطلبات'!$C$4:$C$1000,$A20,'07_سجل الطلبات'!$I$4:$I$1000)</f>
        <v>156</v>
      </c>
      <c r="F20" s="31" t="n">
        <f aca="false">SUMIF('08_الطلب المفقود'!$C$5:$C$1000,IFERROR(INDEX('02_كتالوج القطع'!$B$4:$B$200,MATCH($A20,'02_كتالوج القطع'!$A$4:$A$200,0)),""),'08_الطلب المفقود'!$K$5:$K$1000)</f>
        <v>0</v>
      </c>
      <c r="G20" s="32" t="n">
        <f aca="false">ROUND(($C20*0.4)+($F20*0.4)+(IFERROR($E20/$D20,0)*100*0.2),1)</f>
        <v>5.4</v>
      </c>
    </row>
    <row r="21" customFormat="false" ht="15" hidden="false" customHeight="true" outlineLevel="0" collapsed="false">
      <c r="A21" s="30" t="s">
        <v>105</v>
      </c>
      <c r="B21" s="17" t="str">
        <f aca="false">IFERROR(INDEX('02_كتالوج القطع'!$C$4:$C$200,MATCH($A21,'02_كتالوج القطع'!$A$4:$A$200,0)),"-")</f>
        <v>صدام أمامي</v>
      </c>
      <c r="C21" s="31" t="n">
        <f aca="false">SUMIF('07_سجل الطلبات'!$C$4:$C$1000,$A21,'07_سجل الطلبات'!$D$4:$D$1000)</f>
        <v>1</v>
      </c>
      <c r="D21" s="19" t="n">
        <f aca="false">SUMIF('07_سجل الطلبات'!$C$4:$C$1000,$A21,'07_سجل الطلبات'!$H$4:$H$1000)</f>
        <v>912.13</v>
      </c>
      <c r="E21" s="19" t="n">
        <f aca="false">SUMIF('07_سجل الطلبات'!$C$4:$C$1000,$A21,'07_سجل الطلبات'!$I$4:$I$1000)</f>
        <v>173.156521739131</v>
      </c>
      <c r="F21" s="31" t="n">
        <f aca="false">SUMIF('08_الطلب المفقود'!$C$5:$C$1000,IFERROR(INDEX('02_كتالوج القطع'!$B$4:$B$200,MATCH($A21,'02_كتالوج القطع'!$A$4:$A$200,0)),""),'08_الطلب المفقود'!$K$5:$K$1000)</f>
        <v>0</v>
      </c>
      <c r="G21" s="32" t="n">
        <f aca="false">ROUND(($C21*0.4)+($F21*0.4)+(IFERROR($E21/$D21,0)*100*0.2),1)</f>
        <v>4.2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</row>
    <row r="23" customFormat="false" ht="15" hidden="false" customHeight="true" outlineLevel="0" collapsed="false">
      <c r="A23" s="13" t="s">
        <v>315</v>
      </c>
      <c r="B23" s="3"/>
      <c r="C23" s="3"/>
      <c r="D23" s="3"/>
      <c r="E23" s="3"/>
      <c r="F23" s="3"/>
      <c r="G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</row>
    <row r="25" customFormat="false" ht="15" hidden="false" customHeight="true" outlineLevel="0" collapsed="false">
      <c r="A25" s="20" t="s">
        <v>316</v>
      </c>
      <c r="B25" s="3"/>
      <c r="C25" s="3"/>
      <c r="D25" s="3"/>
      <c r="E25" s="3"/>
      <c r="F25" s="3"/>
      <c r="G25" s="3"/>
    </row>
    <row r="26" customFormat="false" ht="30" hidden="false" customHeight="true" outlineLevel="0" collapsed="false">
      <c r="A26" s="6" t="s">
        <v>161</v>
      </c>
      <c r="B26" s="6" t="s">
        <v>306</v>
      </c>
      <c r="C26" s="6" t="s">
        <v>312</v>
      </c>
      <c r="D26" s="6" t="s">
        <v>308</v>
      </c>
      <c r="E26" s="3"/>
      <c r="F26" s="3"/>
      <c r="G26" s="3"/>
    </row>
    <row r="27" customFormat="false" ht="15" hidden="false" customHeight="true" outlineLevel="0" collapsed="false">
      <c r="A27" s="30" t="s">
        <v>177</v>
      </c>
      <c r="B27" s="31" t="n">
        <f aca="false">COUNTIF('07_سجل الطلبات'!$E$4:$E$1000,$A27)</f>
        <v>4</v>
      </c>
      <c r="C27" s="19" t="n">
        <f aca="false">SUMIF('07_سجل الطلبات'!$E$4:$E$1000,$A27,'07_سجل الطلبات'!$H$4:$H$1000)</f>
        <v>2111.53</v>
      </c>
      <c r="D27" s="33" t="n">
        <f aca="false">IFERROR(COUNTIFS('07_سجل الطلبات'!$E$4:$E$1000,$A27,'07_سجل الطلبات'!$L$4:$L$1000,"نعم")/$B27,0)</f>
        <v>1</v>
      </c>
      <c r="E27" s="3"/>
      <c r="F27" s="3"/>
      <c r="G27" s="3"/>
    </row>
    <row r="28" customFormat="false" ht="15" hidden="false" customHeight="true" outlineLevel="0" collapsed="false">
      <c r="A28" s="30" t="s">
        <v>317</v>
      </c>
      <c r="B28" s="31" t="n">
        <f aca="false">COUNTIF('07_سجل الطلبات'!$E$4:$E$1000,$A28)</f>
        <v>0</v>
      </c>
      <c r="C28" s="19" t="n">
        <f aca="false">SUMIF('07_سجل الطلبات'!$E$4:$E$1000,$A28,'07_سجل الطلبات'!$H$4:$H$1000)</f>
        <v>0</v>
      </c>
      <c r="D28" s="33" t="n">
        <f aca="false">IFERROR(COUNTIFS('07_سجل الطلبات'!$E$4:$E$1000,$A28,'07_سجل الطلبات'!$L$4:$L$1000,"نعم")/$B28,0)</f>
        <v>0</v>
      </c>
      <c r="E28" s="3"/>
      <c r="F28" s="3"/>
      <c r="G28" s="3"/>
    </row>
    <row r="29" customFormat="false" ht="15" hidden="false" customHeight="true" outlineLevel="0" collapsed="false">
      <c r="A29" s="30" t="s">
        <v>171</v>
      </c>
      <c r="B29" s="31" t="n">
        <f aca="false">COUNTIF('07_سجل الطلبات'!$E$4:$E$1000,$A29)</f>
        <v>1</v>
      </c>
      <c r="C29" s="19" t="n">
        <f aca="false">SUMIF('07_سجل الطلبات'!$E$4:$E$1000,$A29,'07_سجل الطلبات'!$H$4:$H$1000)</f>
        <v>600.3</v>
      </c>
      <c r="D29" s="33" t="n">
        <f aca="false">IFERROR(COUNTIFS('07_سجل الطلبات'!$E$4:$E$1000,$A29,'07_سجل الطلبات'!$L$4:$L$1000,"نعم")/$B29,0)</f>
        <v>1</v>
      </c>
      <c r="E29" s="3"/>
      <c r="F29" s="3"/>
      <c r="G29" s="3"/>
    </row>
    <row r="30" customFormat="false" ht="15" hidden="false" customHeight="true" outlineLevel="0" collapsed="false">
      <c r="A30" s="30" t="s">
        <v>180</v>
      </c>
      <c r="B30" s="31" t="n">
        <f aca="false">COUNTIF('07_سجل الطلبات'!$E$4:$E$1000,$A30)</f>
        <v>2</v>
      </c>
      <c r="C30" s="19" t="n">
        <f aca="false">SUMIF('07_سجل الطلبات'!$E$4:$E$1000,$A30,'07_سجل الطلبات'!$H$4:$H$1000)</f>
        <v>789.82</v>
      </c>
      <c r="D30" s="33" t="n">
        <f aca="false">IFERROR(COUNTIFS('07_سجل الطلبات'!$E$4:$E$1000,$A30,'07_سجل الطلبات'!$L$4:$L$1000,"نعم")/$B30,0)</f>
        <v>0.5</v>
      </c>
      <c r="E30" s="3"/>
      <c r="F30" s="3"/>
      <c r="G30" s="3"/>
    </row>
    <row r="31" customFormat="false" ht="15" hidden="false" customHeight="true" outlineLevel="0" collapsed="false">
      <c r="A31" s="30" t="s">
        <v>181</v>
      </c>
      <c r="B31" s="31" t="n">
        <f aca="false">COUNTIF('07_سجل الطلبات'!$E$4:$E$1000,$A31)</f>
        <v>1</v>
      </c>
      <c r="C31" s="19" t="n">
        <f aca="false">SUMIF('07_سجل الطلبات'!$E$4:$E$1000,$A31,'07_سجل الطلبات'!$H$4:$H$1000)</f>
        <v>912.13</v>
      </c>
      <c r="D31" s="33" t="n">
        <f aca="false">IFERROR(COUNTIFS('07_سجل الطلبات'!$E$4:$E$1000,$A31,'07_سجل الطلبات'!$L$4:$L$1000,"نعم")/$B31,0)</f>
        <v>1</v>
      </c>
      <c r="E31" s="3"/>
      <c r="F31" s="3"/>
      <c r="G31" s="3"/>
    </row>
    <row r="32" customFormat="false" ht="15" hidden="false" customHeight="true" outlineLevel="0" collapsed="false">
      <c r="A32" s="30" t="s">
        <v>178</v>
      </c>
      <c r="B32" s="31" t="n">
        <f aca="false">COUNTIF('07_سجل الطلبات'!$E$4:$E$1000,$A32)</f>
        <v>0</v>
      </c>
      <c r="C32" s="19" t="n">
        <f aca="false">SUMIF('07_سجل الطلبات'!$E$4:$E$1000,$A32,'07_سجل الطلبات'!$H$4:$H$1000)</f>
        <v>0</v>
      </c>
      <c r="D32" s="33" t="n">
        <f aca="false">IFERROR(COUNTIFS('07_سجل الطلبات'!$E$4:$E$1000,$A32,'07_سجل الطلبات'!$L$4:$L$1000,"نعم")/$B32,0)</f>
        <v>0</v>
      </c>
      <c r="E32" s="3"/>
      <c r="F32" s="3"/>
      <c r="G32" s="3"/>
    </row>
    <row r="33" customFormat="false" ht="15" hidden="false" customHeight="true" outlineLevel="0" collapsed="false">
      <c r="A33" s="30" t="s">
        <v>182</v>
      </c>
      <c r="B33" s="31" t="n">
        <f aca="false">COUNTIF('07_سجل الطلبات'!$E$4:$E$1000,$A33)</f>
        <v>1</v>
      </c>
      <c r="C33" s="19" t="n">
        <f aca="false">SUMIF('07_سجل الطلبات'!$E$4:$E$1000,$A33,'07_سجل الطلبات'!$H$4:$H$1000)</f>
        <v>426.08</v>
      </c>
      <c r="D33" s="33" t="n">
        <f aca="false">IFERROR(COUNTIFS('07_سجل الطلبات'!$E$4:$E$1000,$A33,'07_سجل الطلبات'!$L$4:$L$1000,"نعم")/$B33,0)</f>
        <v>0</v>
      </c>
      <c r="E33" s="3"/>
      <c r="F33" s="3"/>
      <c r="G33" s="3"/>
    </row>
    <row r="34" customFormat="false" ht="15" hidden="false" customHeight="true" outlineLevel="0" collapsed="false">
      <c r="A34" s="30" t="s">
        <v>184</v>
      </c>
      <c r="B34" s="31" t="n">
        <f aca="false">COUNTIF('07_سجل الطلبات'!$E$4:$E$1000,$A34)</f>
        <v>1</v>
      </c>
      <c r="C34" s="19" t="n">
        <f aca="false">SUMIF('07_سجل الطلبات'!$E$4:$E$1000,$A34,'07_سجل الطلبات'!$H$4:$H$1000)</f>
        <v>1055.7</v>
      </c>
      <c r="D34" s="33" t="n">
        <f aca="false">IFERROR(COUNTIFS('07_سجل الطلبات'!$E$4:$E$1000,$A34,'07_سجل الطلبات'!$L$4:$L$1000,"نعم")/$B34,0)</f>
        <v>0</v>
      </c>
      <c r="E34" s="3"/>
      <c r="F34" s="3"/>
      <c r="G34" s="3"/>
    </row>
    <row r="35" customFormat="false" ht="15" hidden="false" customHeight="true" outlineLevel="0" collapsed="false">
      <c r="A35" s="30" t="s">
        <v>186</v>
      </c>
      <c r="B35" s="31" t="n">
        <f aca="false">COUNTIF('07_سجل الطلبات'!$E$4:$E$1000,$A35)</f>
        <v>0</v>
      </c>
      <c r="C35" s="19" t="n">
        <f aca="false">SUMIF('07_سجل الطلبات'!$E$4:$E$1000,$A35,'07_سجل الطلبات'!$H$4:$H$1000)</f>
        <v>0</v>
      </c>
      <c r="D35" s="33" t="n">
        <f aca="false">IFERROR(COUNTIFS('07_سجل الطلبات'!$E$4:$E$1000,$A35,'07_سجل الطلبات'!$L$4:$L$1000,"نعم")/$B35,0)</f>
        <v>0</v>
      </c>
      <c r="E35" s="3"/>
      <c r="F35" s="3"/>
      <c r="G35" s="3"/>
    </row>
    <row r="36" customFormat="false" ht="15" hidden="false" customHeight="true" outlineLevel="0" collapsed="false">
      <c r="A36" s="30" t="s">
        <v>176</v>
      </c>
      <c r="B36" s="31" t="n">
        <f aca="false">COUNTIF('07_سجل الطلبات'!$E$4:$E$1000,$A36)</f>
        <v>0</v>
      </c>
      <c r="C36" s="19" t="n">
        <f aca="false">SUMIF('07_سجل الطلبات'!$E$4:$E$1000,$A36,'07_سجل الطلبات'!$H$4:$H$1000)</f>
        <v>0</v>
      </c>
      <c r="D36" s="33" t="n">
        <f aca="false">IFERROR(COUNTIFS('07_سجل الطلبات'!$E$4:$E$1000,$A36,'07_سجل الطلبات'!$L$4:$L$1000,"نعم")/$B36,0)</f>
        <v>0</v>
      </c>
      <c r="E36" s="3"/>
      <c r="F36" s="3"/>
      <c r="G36" s="3"/>
    </row>
    <row r="37" customFormat="false" ht="15" hidden="false" customHeight="true" outlineLevel="0" collapsed="false">
      <c r="A37" s="30" t="s">
        <v>168</v>
      </c>
      <c r="B37" s="31" t="n">
        <f aca="false">COUNTIF('07_سجل الطلبات'!$E$4:$E$1000,$A37)</f>
        <v>0</v>
      </c>
      <c r="C37" s="19" t="n">
        <f aca="false">SUMIF('07_سجل الطلبات'!$E$4:$E$1000,$A37,'07_سجل الطلبات'!$H$4:$H$1000)</f>
        <v>0</v>
      </c>
      <c r="D37" s="33" t="n">
        <f aca="false">IFERROR(COUNTIFS('07_سجل الطلبات'!$E$4:$E$1000,$A37,'07_سجل الطلبات'!$L$4:$L$1000,"نعم")/$B37,0)</f>
        <v>0</v>
      </c>
      <c r="E37" s="3"/>
      <c r="F37" s="3"/>
      <c r="G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</row>
    <row r="40" customFormat="false" ht="15" hidden="false" customHeight="true" outlineLevel="0" collapsed="false">
      <c r="A40" s="34" t="s">
        <v>318</v>
      </c>
      <c r="B40" s="3"/>
      <c r="C40" s="3"/>
      <c r="D40" s="3"/>
      <c r="E40" s="3"/>
      <c r="F40" s="3"/>
      <c r="G40" s="3"/>
    </row>
    <row r="41" customFormat="false" ht="30" hidden="false" customHeight="true" outlineLevel="0" collapsed="false">
      <c r="A41" s="6" t="s">
        <v>319</v>
      </c>
      <c r="B41" s="6" t="s">
        <v>320</v>
      </c>
      <c r="C41" s="6" t="s">
        <v>321</v>
      </c>
      <c r="D41" s="6" t="s">
        <v>266</v>
      </c>
      <c r="E41" s="6" t="s">
        <v>322</v>
      </c>
      <c r="F41" s="6" t="s">
        <v>323</v>
      </c>
      <c r="G41" s="3"/>
    </row>
    <row r="42" customFormat="false" ht="15" hidden="false" customHeight="true" outlineLevel="0" collapsed="false">
      <c r="A42" s="30" t="s">
        <v>277</v>
      </c>
      <c r="B42" s="30" t="s">
        <v>276</v>
      </c>
      <c r="C42" s="30" t="s">
        <v>324</v>
      </c>
      <c r="D42" s="31" t="n">
        <f aca="false">SUMIF('08_الطلب المفقود'!$C$5:$C$1000,$A42,'08_الطلب المفقود'!$K$5:$K$1000)</f>
        <v>30</v>
      </c>
      <c r="E42" s="31" t="n">
        <f aca="false">SUMIF('08_الطلب المفقود'!$C$5:$C$1000,$A42,'08_الطلب المفقود'!$H$5:$H$1000)</f>
        <v>22</v>
      </c>
      <c r="F42" s="31" t="n">
        <f aca="false">ROUND($D42*12*0.7+$E42*0.3,0)</f>
        <v>259</v>
      </c>
      <c r="G42" s="3"/>
    </row>
    <row r="43" customFormat="false" ht="15" hidden="false" customHeight="true" outlineLevel="0" collapsed="false">
      <c r="A43" s="30" t="s">
        <v>300</v>
      </c>
      <c r="B43" s="30" t="s">
        <v>299</v>
      </c>
      <c r="C43" s="30" t="s">
        <v>325</v>
      </c>
      <c r="D43" s="31" t="n">
        <f aca="false">SUMIF('08_الطلب المفقود'!$C$5:$C$1000,$A43,'08_الطلب المفقود'!$K$5:$K$1000)</f>
        <v>25</v>
      </c>
      <c r="E43" s="31" t="n">
        <f aca="false">SUMIF('08_الطلب المفقود'!$C$5:$C$1000,$A43,'08_الطلب المفقود'!$H$5:$H$1000)</f>
        <v>19</v>
      </c>
      <c r="F43" s="31" t="n">
        <f aca="false">ROUND($D43*12*0.7+$E43*0.3,0)</f>
        <v>216</v>
      </c>
      <c r="G43" s="3"/>
    </row>
    <row r="44" customFormat="false" ht="15" hidden="false" customHeight="true" outlineLevel="0" collapsed="false">
      <c r="A44" s="30" t="s">
        <v>296</v>
      </c>
      <c r="B44" s="30" t="s">
        <v>295</v>
      </c>
      <c r="C44" s="30" t="s">
        <v>326</v>
      </c>
      <c r="D44" s="31" t="n">
        <f aca="false">SUMIF('08_الطلب المفقود'!$C$5:$C$1000,$A44,'08_الطلب المفقود'!$K$5:$K$1000)</f>
        <v>20</v>
      </c>
      <c r="E44" s="31" t="n">
        <f aca="false">SUMIF('08_الطلب المفقود'!$C$5:$C$1000,$A44,'08_الطلب المفقود'!$H$5:$H$1000)</f>
        <v>16</v>
      </c>
      <c r="F44" s="31" t="n">
        <f aca="false">ROUND($D44*12*0.7+$E44*0.3,0)</f>
        <v>173</v>
      </c>
      <c r="G44" s="3"/>
    </row>
    <row r="45" customFormat="false" ht="15" hidden="false" customHeight="true" outlineLevel="0" collapsed="false">
      <c r="A45" s="30" t="s">
        <v>269</v>
      </c>
      <c r="B45" s="30" t="s">
        <v>268</v>
      </c>
      <c r="C45" s="30" t="s">
        <v>327</v>
      </c>
      <c r="D45" s="31" t="n">
        <f aca="false">SUMIF('08_الطلب المفقود'!$C$5:$C$1000,$A45,'08_الطلب المفقود'!$K$5:$K$1000)</f>
        <v>18</v>
      </c>
      <c r="E45" s="31" t="n">
        <f aca="false">SUMIF('08_الطلب المفقود'!$C$5:$C$1000,$A45,'08_الطلب المفقود'!$H$5:$H$1000)</f>
        <v>14</v>
      </c>
      <c r="F45" s="31" t="n">
        <f aca="false">ROUND($D45*12*0.7+$E45*0.3,0)</f>
        <v>155</v>
      </c>
      <c r="G45" s="3"/>
    </row>
    <row r="46" customFormat="false" ht="15" hidden="false" customHeight="true" outlineLevel="0" collapsed="false">
      <c r="A46" s="30" t="s">
        <v>281</v>
      </c>
      <c r="B46" s="30" t="s">
        <v>280</v>
      </c>
      <c r="C46" s="30" t="s">
        <v>328</v>
      </c>
      <c r="D46" s="31" t="n">
        <f aca="false">SUMIF('08_الطلب المفقود'!$C$5:$C$1000,$A46,'08_الطلب المفقود'!$K$5:$K$1000)</f>
        <v>15</v>
      </c>
      <c r="E46" s="31" t="n">
        <f aca="false">SUMIF('08_الطلب المفقود'!$C$5:$C$1000,$A46,'08_الطلب المفقود'!$H$5:$H$1000)</f>
        <v>11</v>
      </c>
      <c r="F46" s="31" t="n">
        <f aca="false">ROUND($D46*12*0.7+$E46*0.3,0)</f>
        <v>129</v>
      </c>
      <c r="G46" s="3"/>
    </row>
    <row r="47" customFormat="false" ht="15" hidden="false" customHeight="true" outlineLevel="0" collapsed="false">
      <c r="A47" s="30" t="s">
        <v>273</v>
      </c>
      <c r="B47" s="30" t="s">
        <v>272</v>
      </c>
      <c r="C47" s="30" t="s">
        <v>329</v>
      </c>
      <c r="D47" s="31" t="n">
        <f aca="false">SUMIF('08_الطلب المفقود'!$C$5:$C$1000,$A47,'08_الطلب المفقود'!$K$5:$K$1000)</f>
        <v>12</v>
      </c>
      <c r="E47" s="31" t="n">
        <f aca="false">SUMIF('08_الطلب المفقود'!$C$5:$C$1000,$A47,'08_الطلب المفقود'!$H$5:$H$1000)</f>
        <v>9</v>
      </c>
      <c r="F47" s="31" t="n">
        <f aca="false">ROUND($D47*12*0.7+$E47*0.3,0)</f>
        <v>104</v>
      </c>
      <c r="G47" s="3"/>
    </row>
    <row r="48" customFormat="false" ht="15" hidden="false" customHeight="true" outlineLevel="0" collapsed="false">
      <c r="A48" s="30" t="s">
        <v>287</v>
      </c>
      <c r="B48" s="30" t="s">
        <v>286</v>
      </c>
      <c r="C48" s="30" t="s">
        <v>330</v>
      </c>
      <c r="D48" s="31" t="n">
        <f aca="false">SUMIF('08_الطلب المفقود'!$C$5:$C$1000,$A48,'08_الطلب المفقود'!$K$5:$K$1000)</f>
        <v>10</v>
      </c>
      <c r="E48" s="31" t="n">
        <f aca="false">SUMIF('08_الطلب المفقود'!$C$5:$C$1000,$A48,'08_الطلب المفقود'!$H$5:$H$1000)</f>
        <v>8</v>
      </c>
      <c r="F48" s="31" t="n">
        <f aca="false">ROUND($D48*12*0.7+$E48*0.3,0)</f>
        <v>86</v>
      </c>
      <c r="G48" s="3"/>
    </row>
    <row r="49" customFormat="false" ht="15" hidden="false" customHeight="true" outlineLevel="0" collapsed="false">
      <c r="A49" s="30" t="s">
        <v>291</v>
      </c>
      <c r="B49" s="30" t="s">
        <v>290</v>
      </c>
      <c r="C49" s="30" t="s">
        <v>331</v>
      </c>
      <c r="D49" s="31" t="n">
        <f aca="false">SUMIF('08_الطلب المفقود'!$C$5:$C$1000,$A49,'08_الطلب المفقود'!$K$5:$K$1000)</f>
        <v>9</v>
      </c>
      <c r="E49" s="31" t="n">
        <f aca="false">SUMIF('08_الطلب المفقود'!$C$5:$C$1000,$A49,'08_الطلب المفقود'!$H$5:$H$1000)</f>
        <v>7</v>
      </c>
      <c r="F49" s="31" t="n">
        <f aca="false">ROUND($D49*12*0.7+$E49*0.3,0)</f>
        <v>78</v>
      </c>
      <c r="G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</row>
    <row r="51" customFormat="false" ht="15" hidden="false" customHeight="true" outlineLevel="0" collapsed="false">
      <c r="A51" s="13" t="s">
        <v>332</v>
      </c>
      <c r="B51" s="3"/>
      <c r="C51" s="3"/>
      <c r="D51" s="3"/>
      <c r="E51" s="3"/>
      <c r="F51" s="3"/>
      <c r="G5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8" min="7" style="1" width="22"/>
    <col collapsed="false" customWidth="true" hidden="false" outlineLevel="0" max="9" min="9" style="1" width="16"/>
  </cols>
  <sheetData>
    <row r="1" customFormat="false" ht="16.5" hidden="false" customHeight="true" outlineLevel="0" collapsed="false">
      <c r="A1" s="2" t="s">
        <v>333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6" t="s">
        <v>44</v>
      </c>
      <c r="B3" s="6" t="s">
        <v>149</v>
      </c>
      <c r="C3" s="6" t="s">
        <v>334</v>
      </c>
      <c r="D3" s="6" t="s">
        <v>335</v>
      </c>
      <c r="E3" s="6" t="s">
        <v>336</v>
      </c>
      <c r="F3" s="6" t="s">
        <v>337</v>
      </c>
      <c r="G3" s="6" t="s">
        <v>338</v>
      </c>
      <c r="H3" s="6" t="s">
        <v>339</v>
      </c>
      <c r="I3" s="6" t="s">
        <v>340</v>
      </c>
    </row>
    <row r="4" customFormat="false" ht="15" hidden="false" customHeight="true" outlineLevel="0" collapsed="false">
      <c r="A4" s="16" t="s">
        <v>56</v>
      </c>
      <c r="B4" s="17" t="str">
        <f aca="false">IFERROR(INDEX('02_كتالوج القطع'!$C$4:$C$200,MATCH($A4,'02_كتالوج القطع'!$A$4:$A$200,0)),"-")</f>
        <v>فحمات فرامل أمامية</v>
      </c>
      <c r="C4" s="35" t="n">
        <v>1</v>
      </c>
      <c r="D4" s="31" t="n">
        <f aca="false">01_الإعدادات!$B$12</f>
        <v>120</v>
      </c>
      <c r="E4" s="19" t="n">
        <f aca="false">$C4*$D4</f>
        <v>120</v>
      </c>
      <c r="F4" s="19" t="n">
        <f aca="false">$E4*01_الإعدادات!$B$13</f>
        <v>12</v>
      </c>
      <c r="G4" s="19" t="n">
        <f aca="false">$E4-$F4</f>
        <v>108</v>
      </c>
      <c r="H4" s="19" t="n">
        <f aca="false">IFERROR(INDEX('04_التسعير والمخزون'!$G$4:$G$200,MATCH($A4,'04_التسعير والمخزون'!$A$4:$A$200,0)),0)+$G4</f>
        <v>434.025</v>
      </c>
      <c r="I4" s="19" t="n">
        <f aca="false">$F4</f>
        <v>12</v>
      </c>
    </row>
    <row r="5" customFormat="false" ht="15" hidden="false" customHeight="true" outlineLevel="0" collapsed="false">
      <c r="A5" s="16" t="s">
        <v>67</v>
      </c>
      <c r="B5" s="17" t="str">
        <f aca="false">IFERROR(INDEX('02_كتالوج القطع'!$C$4:$C$200,MATCH($A5,'02_كتالوج القطع'!$A$4:$A$200,0)),"-")</f>
        <v>فحمات فرامل أمامية</v>
      </c>
      <c r="C5" s="35" t="n">
        <v>1</v>
      </c>
      <c r="D5" s="31" t="n">
        <f aca="false">01_الإعدادات!$B$12</f>
        <v>120</v>
      </c>
      <c r="E5" s="19" t="n">
        <f aca="false">$C5*$D5</f>
        <v>120</v>
      </c>
      <c r="F5" s="19" t="n">
        <f aca="false">$E5*01_الإعدادات!$B$13</f>
        <v>12</v>
      </c>
      <c r="G5" s="19" t="n">
        <f aca="false">$E5-$F5</f>
        <v>108</v>
      </c>
      <c r="H5" s="19" t="n">
        <f aca="false">IFERROR(INDEX('04_التسعير والمخزون'!$G$4:$G$200,MATCH($A5,'04_التسعير والمخزون'!$A$4:$A$200,0)),0)+$G5</f>
        <v>308.1</v>
      </c>
      <c r="I5" s="19" t="n">
        <f aca="false">$F5</f>
        <v>12</v>
      </c>
    </row>
    <row r="6" customFormat="false" ht="15" hidden="false" customHeight="true" outlineLevel="0" collapsed="false">
      <c r="A6" s="16" t="s">
        <v>70</v>
      </c>
      <c r="B6" s="17" t="str">
        <f aca="false">IFERROR(INDEX('02_كتالوج القطع'!$C$4:$C$200,MATCH($A6,'02_كتالوج القطع'!$A$4:$A$200,0)),"-")</f>
        <v>فلتر زيت</v>
      </c>
      <c r="C6" s="35" t="n">
        <v>0.5</v>
      </c>
      <c r="D6" s="31" t="n">
        <f aca="false">01_الإعدادات!$B$12</f>
        <v>120</v>
      </c>
      <c r="E6" s="19" t="n">
        <f aca="false">$C6*$D6</f>
        <v>60</v>
      </c>
      <c r="F6" s="19" t="n">
        <f aca="false">$E6*01_الإعدادات!$B$13</f>
        <v>6</v>
      </c>
      <c r="G6" s="19" t="n">
        <f aca="false">$E6-$F6</f>
        <v>54</v>
      </c>
      <c r="H6" s="19" t="n">
        <f aca="false">IFERROR(INDEX('04_التسعير والمخزون'!$G$4:$G$200,MATCH($A6,'04_التسعير والمخزون'!$A$4:$A$200,0)),0)+$G6</f>
        <v>94.48</v>
      </c>
      <c r="I6" s="19" t="n">
        <f aca="false">$F6</f>
        <v>6</v>
      </c>
    </row>
    <row r="7" customFormat="false" ht="15" hidden="false" customHeight="true" outlineLevel="0" collapsed="false">
      <c r="A7" s="16" t="s">
        <v>77</v>
      </c>
      <c r="B7" s="17" t="str">
        <f aca="false">IFERROR(INDEX('02_كتالوج القطع'!$C$4:$C$200,MATCH($A7,'02_كتالوج القطع'!$A$4:$A$200,0)),"-")</f>
        <v>بطارية 70 أمبير</v>
      </c>
      <c r="C7" s="35" t="n">
        <v>0.4</v>
      </c>
      <c r="D7" s="31" t="n">
        <f aca="false">01_الإعدادات!$B$12</f>
        <v>120</v>
      </c>
      <c r="E7" s="19" t="n">
        <f aca="false">$C7*$D7</f>
        <v>48</v>
      </c>
      <c r="F7" s="19" t="n">
        <f aca="false">$E7*01_الإعدادات!$B$13</f>
        <v>4.8</v>
      </c>
      <c r="G7" s="19" t="n">
        <f aca="false">$E7-$F7</f>
        <v>43.2</v>
      </c>
      <c r="H7" s="19" t="n">
        <f aca="false">IFERROR(INDEX('04_التسعير والمخزون'!$G$4:$G$200,MATCH($A7,'04_التسعير والمخزون'!$A$4:$A$200,0)),0)+$G7</f>
        <v>469.275</v>
      </c>
      <c r="I7" s="19" t="n">
        <f aca="false">$F7</f>
        <v>4.8</v>
      </c>
    </row>
    <row r="8" customFormat="false" ht="15" hidden="false" customHeight="true" outlineLevel="0" collapsed="false">
      <c r="A8" s="16" t="s">
        <v>84</v>
      </c>
      <c r="B8" s="17" t="str">
        <f aca="false">IFERROR(INDEX('02_كتالوج القطع'!$C$4:$C$200,MATCH($A8,'02_كتالوج القطع'!$A$4:$A$200,0)),"-")</f>
        <v>مساعد أمامي</v>
      </c>
      <c r="C8" s="35" t="n">
        <v>1.5</v>
      </c>
      <c r="D8" s="31" t="n">
        <f aca="false">01_الإعدادات!$B$12</f>
        <v>120</v>
      </c>
      <c r="E8" s="19" t="n">
        <f aca="false">$C8*$D8</f>
        <v>180</v>
      </c>
      <c r="F8" s="19" t="n">
        <f aca="false">$E8*01_الإعدادات!$B$13</f>
        <v>18</v>
      </c>
      <c r="G8" s="19" t="n">
        <f aca="false">$E8-$F8</f>
        <v>162</v>
      </c>
      <c r="H8" s="19" t="n">
        <f aca="false">IFERROR(INDEX('04_التسعير والمخزون'!$G$4:$G$200,MATCH($A8,'04_التسعير والمخزون'!$A$4:$A$200,0)),0)+$G8</f>
        <v>689.85</v>
      </c>
      <c r="I8" s="19" t="n">
        <f aca="false">$F8</f>
        <v>18</v>
      </c>
    </row>
    <row r="9" customFormat="false" ht="15" hidden="false" customHeight="true" outlineLevel="0" collapsed="false">
      <c r="A9" s="16" t="s">
        <v>91</v>
      </c>
      <c r="B9" s="17" t="str">
        <f aca="false">IFERROR(INDEX('02_كتالوج القطع'!$C$4:$C$200,MATCH($A9,'02_كتالوج القطع'!$A$4:$A$200,0)),"-")</f>
        <v>ردياتير</v>
      </c>
      <c r="C9" s="35" t="n">
        <v>2.5</v>
      </c>
      <c r="D9" s="31" t="n">
        <f aca="false">01_الإعدادات!$B$12</f>
        <v>120</v>
      </c>
      <c r="E9" s="19" t="n">
        <f aca="false">$C9*$D9</f>
        <v>300</v>
      </c>
      <c r="F9" s="19" t="n">
        <f aca="false">$E9*01_الإعدادات!$B$13</f>
        <v>30</v>
      </c>
      <c r="G9" s="19" t="n">
        <f aca="false">$E9-$F9</f>
        <v>270</v>
      </c>
      <c r="H9" s="19" t="n">
        <f aca="false">IFERROR(INDEX('04_التسعير والمخزون'!$G$4:$G$200,MATCH($A9,'04_التسعير والمخزون'!$A$4:$A$200,0)),0)+$G9</f>
        <v>998.64</v>
      </c>
      <c r="I9" s="19" t="n">
        <f aca="false">$F9</f>
        <v>30</v>
      </c>
    </row>
    <row r="10" customFormat="false" ht="15" hidden="false" customHeight="true" outlineLevel="0" collapsed="false">
      <c r="A10" s="16" t="s">
        <v>98</v>
      </c>
      <c r="B10" s="17" t="str">
        <f aca="false">IFERROR(INDEX('02_كتالوج القطع'!$C$4:$C$200,MATCH($A10,'02_كتالوج القطع'!$A$4:$A$200,0)),"-")</f>
        <v>دينمو تشغيل (سلف)</v>
      </c>
      <c r="C10" s="35" t="n">
        <v>2</v>
      </c>
      <c r="D10" s="31" t="n">
        <f aca="false">01_الإعدادات!$B$12</f>
        <v>120</v>
      </c>
      <c r="E10" s="19" t="n">
        <f aca="false">$C10*$D10</f>
        <v>240</v>
      </c>
      <c r="F10" s="19" t="n">
        <f aca="false">$E10*01_الإعدادات!$B$13</f>
        <v>24</v>
      </c>
      <c r="G10" s="19" t="n">
        <f aca="false">$E10-$F10</f>
        <v>216</v>
      </c>
      <c r="H10" s="19" t="n">
        <f aca="false">IFERROR(INDEX('04_التسعير والمخزون'!$G$4:$G$200,MATCH($A10,'04_التسعير والمخزون'!$A$4:$A$200,0)),0)+$G10</f>
        <v>843.9</v>
      </c>
      <c r="I10" s="19" t="n">
        <f aca="false">$F10</f>
        <v>24</v>
      </c>
    </row>
    <row r="11" customFormat="false" ht="15" hidden="false" customHeight="true" outlineLevel="0" collapsed="false">
      <c r="A11" s="16" t="s">
        <v>105</v>
      </c>
      <c r="B11" s="17" t="str">
        <f aca="false">IFERROR(INDEX('02_كتالوج القطع'!$C$4:$C$200,MATCH($A11,'02_كتالوج القطع'!$A$4:$A$200,0)),"-")</f>
        <v>صدام أمامي</v>
      </c>
      <c r="C11" s="35" t="n">
        <v>3</v>
      </c>
      <c r="D11" s="31" t="n">
        <f aca="false">01_الإعدادات!$B$12</f>
        <v>120</v>
      </c>
      <c r="E11" s="19" t="n">
        <f aca="false">$C11*$D11</f>
        <v>360</v>
      </c>
      <c r="F11" s="19" t="n">
        <f aca="false">$E11*01_الإعدادات!$B$13</f>
        <v>36</v>
      </c>
      <c r="G11" s="19" t="n">
        <f aca="false">$E11-$F11</f>
        <v>324</v>
      </c>
      <c r="H11" s="19" t="n">
        <f aca="false">IFERROR(INDEX('04_التسعير والمخزون'!$G$4:$G$200,MATCH($A11,'04_التسعير والمخزون'!$A$4:$A$200,0)),0)+$G11</f>
        <v>1236.64</v>
      </c>
      <c r="I11" s="19" t="n">
        <f aca="false">$F11</f>
        <v>36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true" outlineLevel="0" collapsed="false">
      <c r="A13" s="13" t="s">
        <v>341</v>
      </c>
      <c r="B13" s="3"/>
      <c r="C13" s="3"/>
      <c r="D13" s="3"/>
      <c r="E13" s="3"/>
      <c r="F13" s="3"/>
      <c r="G13" s="3"/>
      <c r="H13" s="3"/>
      <c r="I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2" t="s">
        <v>342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13" t="s">
        <v>343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30" hidden="false" customHeight="true" outlineLevel="0" collapsed="false">
      <c r="A4" s="6" t="s">
        <v>344</v>
      </c>
      <c r="B4" s="6" t="s">
        <v>345</v>
      </c>
      <c r="C4" s="6" t="s">
        <v>346</v>
      </c>
      <c r="D4" s="6" t="s">
        <v>347</v>
      </c>
      <c r="E4" s="6" t="s">
        <v>348</v>
      </c>
      <c r="F4" s="6" t="s">
        <v>349</v>
      </c>
      <c r="G4" s="6" t="s">
        <v>44</v>
      </c>
      <c r="H4" s="6" t="s">
        <v>319</v>
      </c>
      <c r="I4" s="6" t="s">
        <v>350</v>
      </c>
    </row>
    <row r="5" customFormat="false" ht="15" hidden="false" customHeight="true" outlineLevel="0" collapsed="false">
      <c r="A5" s="14" t="s">
        <v>351</v>
      </c>
      <c r="B5" s="14" t="s">
        <v>352</v>
      </c>
      <c r="C5" s="14" t="s">
        <v>353</v>
      </c>
      <c r="D5" s="14" t="n">
        <v>140</v>
      </c>
      <c r="E5" s="14" t="n">
        <v>195</v>
      </c>
      <c r="F5" s="14" t="n">
        <v>1</v>
      </c>
      <c r="G5" s="14" t="s">
        <v>91</v>
      </c>
      <c r="H5" s="14" t="s">
        <v>92</v>
      </c>
      <c r="I5" s="14" t="s">
        <v>93</v>
      </c>
    </row>
    <row r="6" customFormat="false" ht="15" hidden="false" customHeight="true" outlineLevel="0" collapsed="false">
      <c r="A6" s="14" t="s">
        <v>351</v>
      </c>
      <c r="B6" s="14" t="s">
        <v>352</v>
      </c>
      <c r="C6" s="14" t="s">
        <v>353</v>
      </c>
      <c r="D6" s="14" t="n">
        <v>140</v>
      </c>
      <c r="E6" s="14" t="n">
        <v>195</v>
      </c>
      <c r="F6" s="14" t="n">
        <v>2</v>
      </c>
      <c r="G6" s="14" t="s">
        <v>70</v>
      </c>
      <c r="H6" s="14" t="s">
        <v>71</v>
      </c>
      <c r="I6" s="14" t="s">
        <v>72</v>
      </c>
    </row>
    <row r="7" customFormat="false" ht="15" hidden="false" customHeight="true" outlineLevel="0" collapsed="false">
      <c r="A7" s="14" t="s">
        <v>354</v>
      </c>
      <c r="B7" s="14" t="s">
        <v>355</v>
      </c>
      <c r="C7" s="14" t="s">
        <v>356</v>
      </c>
      <c r="D7" s="14" t="n">
        <v>200</v>
      </c>
      <c r="E7" s="14" t="n">
        <v>245</v>
      </c>
      <c r="F7" s="14" t="n">
        <v>1</v>
      </c>
      <c r="G7" s="14" t="s">
        <v>56</v>
      </c>
      <c r="H7" s="14" t="s">
        <v>57</v>
      </c>
      <c r="I7" s="14" t="s">
        <v>357</v>
      </c>
    </row>
    <row r="8" customFormat="false" ht="15" hidden="false" customHeight="true" outlineLevel="0" collapsed="false">
      <c r="A8" s="14" t="s">
        <v>354</v>
      </c>
      <c r="B8" s="14" t="s">
        <v>355</v>
      </c>
      <c r="C8" s="14" t="s">
        <v>356</v>
      </c>
      <c r="D8" s="14" t="n">
        <v>200</v>
      </c>
      <c r="E8" s="14" t="n">
        <v>245</v>
      </c>
      <c r="F8" s="14" t="n">
        <v>2</v>
      </c>
      <c r="G8" s="14" t="s">
        <v>67</v>
      </c>
      <c r="H8" s="14" t="s">
        <v>68</v>
      </c>
      <c r="I8" s="14" t="s">
        <v>358</v>
      </c>
    </row>
    <row r="9" customFormat="false" ht="15" hidden="false" customHeight="true" outlineLevel="0" collapsed="false">
      <c r="A9" s="14" t="s">
        <v>354</v>
      </c>
      <c r="B9" s="14" t="s">
        <v>355</v>
      </c>
      <c r="C9" s="14" t="s">
        <v>356</v>
      </c>
      <c r="D9" s="14" t="n">
        <v>200</v>
      </c>
      <c r="E9" s="14" t="n">
        <v>245</v>
      </c>
      <c r="F9" s="14" t="n">
        <v>3</v>
      </c>
      <c r="G9" s="14" t="s">
        <v>84</v>
      </c>
      <c r="H9" s="14" t="s">
        <v>85</v>
      </c>
      <c r="I9" s="14" t="s">
        <v>86</v>
      </c>
    </row>
    <row r="10" customFormat="false" ht="15" hidden="false" customHeight="true" outlineLevel="0" collapsed="false">
      <c r="A10" s="14" t="s">
        <v>359</v>
      </c>
      <c r="B10" s="14" t="s">
        <v>360</v>
      </c>
      <c r="C10" s="14" t="s">
        <v>81</v>
      </c>
      <c r="D10" s="14" t="n">
        <v>250</v>
      </c>
      <c r="E10" s="14" t="n">
        <v>175</v>
      </c>
      <c r="F10" s="14" t="n">
        <v>1</v>
      </c>
      <c r="G10" s="14" t="s">
        <v>77</v>
      </c>
      <c r="H10" s="14" t="s">
        <v>78</v>
      </c>
      <c r="I10" s="14" t="s">
        <v>361</v>
      </c>
    </row>
    <row r="11" customFormat="false" ht="15" hidden="false" customHeight="true" outlineLevel="0" collapsed="false">
      <c r="A11" s="14" t="s">
        <v>359</v>
      </c>
      <c r="B11" s="14" t="s">
        <v>360</v>
      </c>
      <c r="C11" s="14" t="s">
        <v>81</v>
      </c>
      <c r="D11" s="14" t="n">
        <v>250</v>
      </c>
      <c r="E11" s="14" t="n">
        <v>175</v>
      </c>
      <c r="F11" s="14" t="n">
        <v>2</v>
      </c>
      <c r="G11" s="14" t="s">
        <v>98</v>
      </c>
      <c r="H11" s="14" t="s">
        <v>99</v>
      </c>
      <c r="I11" s="14" t="s">
        <v>362</v>
      </c>
    </row>
    <row r="12" customFormat="false" ht="15" hidden="false" customHeight="true" outlineLevel="0" collapsed="false">
      <c r="A12" s="14" t="s">
        <v>363</v>
      </c>
      <c r="B12" s="14" t="s">
        <v>364</v>
      </c>
      <c r="C12" s="14" t="s">
        <v>365</v>
      </c>
      <c r="D12" s="14" t="n">
        <v>735</v>
      </c>
      <c r="E12" s="14" t="n">
        <v>200</v>
      </c>
      <c r="F12" s="14" t="n">
        <v>1</v>
      </c>
      <c r="G12" s="14" t="s">
        <v>105</v>
      </c>
      <c r="H12" s="14" t="s">
        <v>106</v>
      </c>
      <c r="I12" s="14" t="s">
        <v>107</v>
      </c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true" outlineLevel="0" collapsed="false">
      <c r="A14" s="13" t="s">
        <v>366</v>
      </c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true" outlineLevel="0" collapsed="false">
      <c r="A15" s="13" t="s">
        <v>367</v>
      </c>
      <c r="B15" s="3"/>
      <c r="C15" s="3"/>
      <c r="D15" s="3"/>
      <c r="E15" s="3"/>
      <c r="F15" s="3"/>
      <c r="G15" s="3"/>
      <c r="H15" s="3"/>
      <c r="I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2026-07-27T23:58:58Z</dcterms:created>
  <dc:creator>openpyxl</dc:creator>
  <dc:description/>
  <dc:language>en-US</dc:language>
  <cp:lastModifiedBy/>
  <dcterms:modified xsi:type="dcterms:W3CDTF">2026-08-13T13:13:23Z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